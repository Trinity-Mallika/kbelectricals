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RINITY\htdocs\kbelectricals\docs\"/>
    </mc:Choice>
  </mc:AlternateContent>
  <xr:revisionPtr revIDLastSave="0" documentId="13_ncr:1_{A05C86D2-3DDB-4F6F-8480-38BE15537FF5}" xr6:coauthVersionLast="36" xr6:coauthVersionMax="36" xr10:uidLastSave="{00000000-0000-0000-0000-000000000000}"/>
  <bookViews>
    <workbookView xWindow="0" yWindow="0" windowWidth="20490" windowHeight="7425" firstSheet="6" activeTab="9" xr2:uid="{00000000-000D-0000-FFFF-FFFF00000000}"/>
  </bookViews>
  <sheets>
    <sheet name="Ankur Monday Week 1" sheetId="1" r:id="rId1"/>
    <sheet name="Ankur Monday Week 2" sheetId="2" r:id="rId2"/>
    <sheet name="Ankur Tuseday" sheetId="3" r:id="rId3"/>
    <sheet name="Ankur Wednesday Week 1" sheetId="4" r:id="rId4"/>
    <sheet name="Ankur Wednesday Week 2" sheetId="5" r:id="rId5"/>
    <sheet name="Ankur Thursday" sheetId="6" r:id="rId6"/>
    <sheet name="Ankur Friday Week 1" sheetId="7" r:id="rId7"/>
    <sheet name="Ankur Friday Week 2" sheetId="8" r:id="rId8"/>
    <sheet name="Ankur Saturday Week 2" sheetId="10" r:id="rId9"/>
    <sheet name="Ankur Saturday Week 1" sheetId="9" r:id="rId10"/>
  </sheets>
  <definedNames>
    <definedName name="_xlnm._FilterDatabase" localSheetId="6" hidden="1">'Ankur Friday Week 1'!$A$2:$J$19</definedName>
    <definedName name="_xlnm._FilterDatabase" localSheetId="7" hidden="1">'Ankur Friday Week 2'!$A$2:$J$20</definedName>
    <definedName name="_xlnm._FilterDatabase" localSheetId="0" hidden="1">'Ankur Monday Week 1'!$A$2:$L$2</definedName>
    <definedName name="_xlnm._FilterDatabase" localSheetId="1" hidden="1">'Ankur Monday Week 2'!$A$2:$J$2</definedName>
    <definedName name="_xlnm._FilterDatabase" localSheetId="2" hidden="1">'Ankur Tuseday'!$A$2:$J$20</definedName>
  </definedNames>
  <calcPr calcId="191029"/>
</workbook>
</file>

<file path=xl/calcChain.xml><?xml version="1.0" encoding="utf-8"?>
<calcChain xmlns="http://schemas.openxmlformats.org/spreadsheetml/2006/main">
  <c r="J5" i="10" l="1"/>
  <c r="J4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J3" i="10"/>
  <c r="J5" i="9"/>
  <c r="J4" i="9"/>
  <c r="J3" i="9"/>
  <c r="J5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J4" i="8"/>
  <c r="A4" i="8"/>
  <c r="J3" i="8"/>
  <c r="J5" i="7"/>
  <c r="J4" i="7"/>
  <c r="J3" i="7"/>
  <c r="J5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J4" i="6"/>
  <c r="A4" i="6"/>
  <c r="J3" i="6"/>
  <c r="J5" i="5"/>
  <c r="J4" i="5"/>
  <c r="J3" i="5"/>
  <c r="J5" i="4"/>
  <c r="J4" i="4"/>
  <c r="J3" i="4"/>
  <c r="J5" i="3"/>
  <c r="J4" i="3"/>
  <c r="J3" i="3"/>
  <c r="J5" i="2"/>
  <c r="J4" i="2"/>
  <c r="J3" i="2"/>
  <c r="L5" i="1"/>
  <c r="L4" i="1"/>
  <c r="L3" i="1"/>
</calcChain>
</file>

<file path=xl/sharedStrings.xml><?xml version="1.0" encoding="utf-8"?>
<sst xmlns="http://schemas.openxmlformats.org/spreadsheetml/2006/main" count="897" uniqueCount="222">
  <si>
    <t>Ankur Singh Final Beat Plan 2026</t>
  </si>
  <si>
    <t>S No</t>
  </si>
  <si>
    <t>Counters Name</t>
  </si>
  <si>
    <t>Area</t>
  </si>
  <si>
    <t>Material</t>
  </si>
  <si>
    <t>Class</t>
  </si>
  <si>
    <t>Beat Day</t>
  </si>
  <si>
    <t>Beat Area</t>
  </si>
  <si>
    <t>Target Jan 2026</t>
  </si>
  <si>
    <t>Comments/ Meet Plan/Activity Plan</t>
  </si>
  <si>
    <t>Final Progress</t>
  </si>
  <si>
    <t>Percentage</t>
  </si>
  <si>
    <t>Shyam Marketing</t>
  </si>
  <si>
    <t>Dharsiva</t>
  </si>
  <si>
    <t>Inactive</t>
  </si>
  <si>
    <t>B</t>
  </si>
  <si>
    <t>Monday Week 1</t>
  </si>
  <si>
    <t>Simga</t>
  </si>
  <si>
    <t xml:space="preserve">Total Active counter : 3                                                                                        Total Inactive Counter : 10                                                                                                  Plan for activation this month: 3                                                                           </t>
  </si>
  <si>
    <t>A</t>
  </si>
  <si>
    <t>Dewangan Elec</t>
  </si>
  <si>
    <t>Tarpongi</t>
  </si>
  <si>
    <t>Gurdev Elec</t>
  </si>
  <si>
    <t>C</t>
  </si>
  <si>
    <t>Arum Electronics</t>
  </si>
  <si>
    <t>Manoj Furniture</t>
  </si>
  <si>
    <t>Active</t>
  </si>
  <si>
    <t>Ashok Elec</t>
  </si>
  <si>
    <t>Sahu Electricals</t>
  </si>
  <si>
    <t>Damakheda</t>
  </si>
  <si>
    <t>Gurukripa</t>
  </si>
  <si>
    <t xml:space="preserve">Dipanshu ele </t>
  </si>
  <si>
    <t xml:space="preserve">Active </t>
  </si>
  <si>
    <t xml:space="preserve">Saty Kabir ele </t>
  </si>
  <si>
    <t xml:space="preserve">Tarpongi </t>
  </si>
  <si>
    <t xml:space="preserve">Inactive </t>
  </si>
  <si>
    <t>Mahajan Elec</t>
  </si>
  <si>
    <t>Bhatapara</t>
  </si>
  <si>
    <t>Tanu Sales</t>
  </si>
  <si>
    <t>Kura</t>
  </si>
  <si>
    <t>Monday week 1</t>
  </si>
  <si>
    <t>simga</t>
  </si>
  <si>
    <t>Dinesh Elec</t>
  </si>
  <si>
    <t>Aarang</t>
  </si>
  <si>
    <t>Monday week 2</t>
  </si>
  <si>
    <t xml:space="preserve">Total Active counter :                                                                                          Total Inactive Counter :                                                                                                       Plan for activation this month:                                                                           Business this month from this beat  </t>
  </si>
  <si>
    <t xml:space="preserve">Sankalp Elec </t>
  </si>
  <si>
    <t>Mahasamundh</t>
  </si>
  <si>
    <t>Sri Ram Haardware</t>
  </si>
  <si>
    <t>Patewa</t>
  </si>
  <si>
    <t xml:space="preserve">Sinha Hardware </t>
  </si>
  <si>
    <t xml:space="preserve">Patewa </t>
  </si>
  <si>
    <t xml:space="preserve">Agarwal Hardware </t>
  </si>
  <si>
    <t>Jhalap</t>
  </si>
  <si>
    <t xml:space="preserve">Patel Enterprises </t>
  </si>
  <si>
    <t xml:space="preserve">Pithora </t>
  </si>
  <si>
    <t xml:space="preserve">JK Traders </t>
  </si>
  <si>
    <t xml:space="preserve">Mahasamund </t>
  </si>
  <si>
    <t xml:space="preserve">Balaji Egency </t>
  </si>
  <si>
    <t xml:space="preserve">Ashok ele </t>
  </si>
  <si>
    <t xml:space="preserve">Malu Agency </t>
  </si>
  <si>
    <t xml:space="preserve">Jain ele </t>
  </si>
  <si>
    <t xml:space="preserve">Bagbahara </t>
  </si>
  <si>
    <t xml:space="preserve">Nayak ele </t>
  </si>
  <si>
    <t xml:space="preserve">New Counter </t>
  </si>
  <si>
    <t>Karan Hardwarre</t>
  </si>
  <si>
    <t>Mahaveer Elec</t>
  </si>
  <si>
    <t>Pithora</t>
  </si>
  <si>
    <t xml:space="preserve">Narayan Ele </t>
  </si>
  <si>
    <t xml:space="preserve">Katora Talab </t>
  </si>
  <si>
    <t>inactive</t>
  </si>
  <si>
    <t>Tuesday</t>
  </si>
  <si>
    <t>Katora talab</t>
  </si>
  <si>
    <t xml:space="preserve">Satguru Traders </t>
  </si>
  <si>
    <t xml:space="preserve">Jai Ambe Ele </t>
  </si>
  <si>
    <t xml:space="preserve">Nitin Hardware </t>
  </si>
  <si>
    <t xml:space="preserve">Shyam Nagar </t>
  </si>
  <si>
    <t xml:space="preserve">Sahil Hardware </t>
  </si>
  <si>
    <t xml:space="preserve">New Rajendra Nagar </t>
  </si>
  <si>
    <t xml:space="preserve">Ganesh Hardware </t>
  </si>
  <si>
    <t xml:space="preserve">Raipur Trading </t>
  </si>
  <si>
    <t xml:space="preserve">Shree Ele </t>
  </si>
  <si>
    <t xml:space="preserve">Amlidih </t>
  </si>
  <si>
    <t xml:space="preserve">Rajni Traders </t>
  </si>
  <si>
    <t>Maa sarda Elec</t>
  </si>
  <si>
    <t>Maa Sarda Elec</t>
  </si>
  <si>
    <t xml:space="preserve">Mahaveer Nagar </t>
  </si>
  <si>
    <t>Shiv Shankar Elec</t>
  </si>
  <si>
    <t xml:space="preserve">Vishal Elec </t>
  </si>
  <si>
    <t>Katora Talab</t>
  </si>
  <si>
    <t>Rama Elec</t>
  </si>
  <si>
    <t xml:space="preserve">Zee Hardware </t>
  </si>
  <si>
    <t>Pachpedi Naka</t>
  </si>
  <si>
    <t xml:space="preserve">Bansi Hardware </t>
  </si>
  <si>
    <t xml:space="preserve">Pachpedi Naka </t>
  </si>
  <si>
    <t xml:space="preserve">Spark Ele </t>
  </si>
  <si>
    <t xml:space="preserve">Lalpur </t>
  </si>
  <si>
    <t>Saurabh Elec Dhamtari</t>
  </si>
  <si>
    <t>Dhamtari</t>
  </si>
  <si>
    <t>Wednesday Week 1</t>
  </si>
  <si>
    <t>Siddhi vinayak Elec</t>
  </si>
  <si>
    <t>Shri Light Dhamtari</t>
  </si>
  <si>
    <t xml:space="preserve">Shri Ram Elec </t>
  </si>
  <si>
    <t>Swastik Elec</t>
  </si>
  <si>
    <t>Ramesh Elec</t>
  </si>
  <si>
    <t>Shiv Elec</t>
  </si>
  <si>
    <t xml:space="preserve">Jain Elec </t>
  </si>
  <si>
    <t>Gurur</t>
  </si>
  <si>
    <t xml:space="preserve">Laxi Elec </t>
  </si>
  <si>
    <t>Bhakhara</t>
  </si>
  <si>
    <t>Jaya Electronics</t>
  </si>
  <si>
    <t>Chumman Elec</t>
  </si>
  <si>
    <t>Patan</t>
  </si>
  <si>
    <t>Wednesday Week 2</t>
  </si>
  <si>
    <t>Patan/Balod</t>
  </si>
  <si>
    <t>Shubham Electronics</t>
  </si>
  <si>
    <t>Tarun</t>
  </si>
  <si>
    <t>Gunderdehi</t>
  </si>
  <si>
    <t>Ganpati</t>
  </si>
  <si>
    <t>Mohan Elec</t>
  </si>
  <si>
    <t>Balod</t>
  </si>
  <si>
    <t>Govinda Enterprises</t>
  </si>
  <si>
    <t>Vizen Enterprises</t>
  </si>
  <si>
    <t>Kamlesh Elec</t>
  </si>
  <si>
    <t xml:space="preserve">Mahaveer Ele </t>
  </si>
  <si>
    <t xml:space="preserve">Balod </t>
  </si>
  <si>
    <t xml:space="preserve">Darshan ele </t>
  </si>
  <si>
    <t xml:space="preserve">Bharat Elec </t>
  </si>
  <si>
    <t>Ashram</t>
  </si>
  <si>
    <t>Thursday</t>
  </si>
  <si>
    <t>Raipur</t>
  </si>
  <si>
    <t xml:space="preserve">chandrashekhar Ele </t>
  </si>
  <si>
    <t xml:space="preserve">Bhatagon </t>
  </si>
  <si>
    <t>Sharma Elec</t>
  </si>
  <si>
    <t>Gondwara</t>
  </si>
  <si>
    <t xml:space="preserve">Sanvi Elec </t>
  </si>
  <si>
    <t>Hirapur</t>
  </si>
  <si>
    <t>Sri Ram Elec</t>
  </si>
  <si>
    <t>Rudra Elec</t>
  </si>
  <si>
    <t>Kabir Nagar</t>
  </si>
  <si>
    <t>c</t>
  </si>
  <si>
    <t>Sanjay Elec</t>
  </si>
  <si>
    <t>Kota</t>
  </si>
  <si>
    <t xml:space="preserve">Sonu Hardware </t>
  </si>
  <si>
    <t>Mohba Bazar</t>
  </si>
  <si>
    <t xml:space="preserve">Raja Elec </t>
  </si>
  <si>
    <t>Mohbabazar</t>
  </si>
  <si>
    <t xml:space="preserve">Electrical Velly </t>
  </si>
  <si>
    <t xml:space="preserve">Sarona </t>
  </si>
  <si>
    <t>Maa Uma Hardware</t>
  </si>
  <si>
    <t>Sri nagar Ghudhyari</t>
  </si>
  <si>
    <t>Arihant Traders</t>
  </si>
  <si>
    <t>Star Elec Tatiband</t>
  </si>
  <si>
    <t>tatiband</t>
  </si>
  <si>
    <t>Shradhha Electrical</t>
  </si>
  <si>
    <t>Mahoba Bajar</t>
  </si>
  <si>
    <t xml:space="preserve">Ganesh Traders </t>
  </si>
  <si>
    <t>Abhanpur</t>
  </si>
  <si>
    <t>Friday Week 1</t>
  </si>
  <si>
    <t>Bhairav Nath Traders</t>
  </si>
  <si>
    <t>Gyanchand Jain</t>
  </si>
  <si>
    <t>Nava Para Rajim</t>
  </si>
  <si>
    <t>Shri Light House</t>
  </si>
  <si>
    <t>vaibhav Laxmi</t>
  </si>
  <si>
    <t>Gurdev Enterprises</t>
  </si>
  <si>
    <t>Vinay Elec</t>
  </si>
  <si>
    <t>Maa Karma</t>
  </si>
  <si>
    <t>Rajim</t>
  </si>
  <si>
    <t>Ajay Pump House</t>
  </si>
  <si>
    <t xml:space="preserve">Prem Elecronics </t>
  </si>
  <si>
    <t xml:space="preserve">Babu Elec </t>
  </si>
  <si>
    <t xml:space="preserve">Gariyaband </t>
  </si>
  <si>
    <t>Deep Sales</t>
  </si>
  <si>
    <t>Shri Ram Sales</t>
  </si>
  <si>
    <t xml:space="preserve">Sachhdeev Traders </t>
  </si>
  <si>
    <t>Chura</t>
  </si>
  <si>
    <t>Jaya Electonnics</t>
  </si>
  <si>
    <t>fingeshwar</t>
  </si>
  <si>
    <t>Om Enterprisess</t>
  </si>
  <si>
    <t>JK Electronics and Furniture</t>
  </si>
  <si>
    <t>Fingeshwar</t>
  </si>
  <si>
    <t xml:space="preserve">Bajrang ele </t>
  </si>
  <si>
    <t xml:space="preserve">Charoda </t>
  </si>
  <si>
    <t>Friday Week 2</t>
  </si>
  <si>
    <t xml:space="preserve">Shree Light garden </t>
  </si>
  <si>
    <t>Bhilai</t>
  </si>
  <si>
    <t>Balaji ele</t>
  </si>
  <si>
    <t xml:space="preserve">Arihant ele </t>
  </si>
  <si>
    <t xml:space="preserve">Durg </t>
  </si>
  <si>
    <t xml:space="preserve">City light </t>
  </si>
  <si>
    <t xml:space="preserve">Rajnandgaon </t>
  </si>
  <si>
    <t xml:space="preserve">Aarti ele </t>
  </si>
  <si>
    <t xml:space="preserve">Bagga ele </t>
  </si>
  <si>
    <t>Chanda ele</t>
  </si>
  <si>
    <t xml:space="preserve">Sona agency </t>
  </si>
  <si>
    <t xml:space="preserve">RK ele </t>
  </si>
  <si>
    <t xml:space="preserve">Bhilai </t>
  </si>
  <si>
    <t xml:space="preserve">ajit ele </t>
  </si>
  <si>
    <t>Durg</t>
  </si>
  <si>
    <t xml:space="preserve">Light Emporium </t>
  </si>
  <si>
    <t xml:space="preserve">Arihant enterprises </t>
  </si>
  <si>
    <t xml:space="preserve">OM ELE </t>
  </si>
  <si>
    <t xml:space="preserve">MG ROAD </t>
  </si>
  <si>
    <t>Suterday Week 1</t>
  </si>
  <si>
    <t>MG Road Week 1</t>
  </si>
  <si>
    <t>VAIBHAV ELE</t>
  </si>
  <si>
    <t>DEEPAK ELE</t>
  </si>
  <si>
    <t xml:space="preserve">ELECTROGRAM </t>
  </si>
  <si>
    <t xml:space="preserve">RAHUL ENTERPRISES </t>
  </si>
  <si>
    <t xml:space="preserve">SAANVI ENTERPRISES </t>
  </si>
  <si>
    <t xml:space="preserve">AAR AAR SONS </t>
  </si>
  <si>
    <t xml:space="preserve">PRAJAPATI ELE </t>
  </si>
  <si>
    <t xml:space="preserve">DK SALES </t>
  </si>
  <si>
    <t xml:space="preserve">ASHA SALES </t>
  </si>
  <si>
    <t xml:space="preserve">SHRI RAM SALES </t>
  </si>
  <si>
    <t xml:space="preserve">BAGGA AGENCY </t>
  </si>
  <si>
    <t>MG ELE</t>
  </si>
  <si>
    <t xml:space="preserve">GURU SALSE </t>
  </si>
  <si>
    <t>LIGHT GALAXY</t>
  </si>
  <si>
    <t>DEVENDRA NAGAR</t>
  </si>
  <si>
    <t>Saturday Week 2</t>
  </si>
  <si>
    <t>MG Road 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</si>
</sst>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9" fontId="3" fillId="2" borderId="5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3" fillId="0" borderId="0" xfId="0" applyFont="1"/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9" fontId="4" fillId="2" borderId="5" xfId="0" applyNumberFormat="1" applyFont="1" applyFill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0" xfId="0" applyFont="1"/>
    <xf numFmtId="9" fontId="4" fillId="0" borderId="5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3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1" fillId="0" borderId="1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3" sqref="A3:G14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13.85546875" hidden="1" customWidth="1"/>
    <col min="9" max="9" width="32.140625" hidden="1" customWidth="1"/>
    <col min="10" max="10" width="30.28515625" customWidth="1"/>
    <col min="11" max="11" width="8.7109375" customWidth="1"/>
    <col min="12" max="12" width="10.140625" customWidth="1"/>
    <col min="13" max="25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5</v>
      </c>
      <c r="L2" s="5" t="s">
        <v>11</v>
      </c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2"/>
    </row>
    <row r="3" spans="1:26" ht="14.25" customHeight="1">
      <c r="A3" s="8">
        <v>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/>
      <c r="I3" s="8"/>
      <c r="J3" s="50" t="s">
        <v>18</v>
      </c>
      <c r="K3" s="9" t="s">
        <v>19</v>
      </c>
      <c r="L3" s="10">
        <f>3/13</f>
        <v>0.23076923076923078</v>
      </c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8">
        <v>2</v>
      </c>
      <c r="B4" s="8" t="s">
        <v>20</v>
      </c>
      <c r="C4" s="8" t="s">
        <v>21</v>
      </c>
      <c r="D4" s="8" t="s">
        <v>14</v>
      </c>
      <c r="E4" s="8" t="s">
        <v>19</v>
      </c>
      <c r="F4" s="8" t="s">
        <v>16</v>
      </c>
      <c r="G4" s="8" t="s">
        <v>17</v>
      </c>
      <c r="H4" s="8"/>
      <c r="I4" s="8"/>
      <c r="J4" s="51"/>
      <c r="K4" s="9" t="s">
        <v>15</v>
      </c>
      <c r="L4" s="10">
        <f t="shared" ref="L4:L5" si="0">5/13</f>
        <v>0.38461538461538464</v>
      </c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8">
        <v>3</v>
      </c>
      <c r="B5" s="8" t="s">
        <v>22</v>
      </c>
      <c r="C5" s="8" t="s">
        <v>21</v>
      </c>
      <c r="D5" s="8" t="s">
        <v>14</v>
      </c>
      <c r="E5" s="8" t="s">
        <v>23</v>
      </c>
      <c r="F5" s="8" t="s">
        <v>16</v>
      </c>
      <c r="G5" s="8" t="s">
        <v>17</v>
      </c>
      <c r="H5" s="8"/>
      <c r="I5" s="8"/>
      <c r="J5" s="51"/>
      <c r="K5" s="8" t="s">
        <v>23</v>
      </c>
      <c r="L5" s="10">
        <f t="shared" si="0"/>
        <v>0.38461538461538464</v>
      </c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8">
        <v>4</v>
      </c>
      <c r="B6" s="8" t="s">
        <v>24</v>
      </c>
      <c r="C6" s="8" t="s">
        <v>17</v>
      </c>
      <c r="D6" s="8" t="s">
        <v>14</v>
      </c>
      <c r="E6" s="8" t="s">
        <v>19</v>
      </c>
      <c r="F6" s="8" t="s">
        <v>16</v>
      </c>
      <c r="G6" s="8" t="s">
        <v>17</v>
      </c>
      <c r="H6" s="8"/>
      <c r="I6" s="8"/>
      <c r="J6" s="51"/>
      <c r="K6" s="1"/>
      <c r="L6" s="1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8">
        <v>5</v>
      </c>
      <c r="B7" s="8" t="s">
        <v>25</v>
      </c>
      <c r="C7" s="8" t="s">
        <v>17</v>
      </c>
      <c r="D7" s="8" t="s">
        <v>26</v>
      </c>
      <c r="E7" s="8" t="s">
        <v>15</v>
      </c>
      <c r="F7" s="8" t="s">
        <v>16</v>
      </c>
      <c r="G7" s="8" t="s">
        <v>17</v>
      </c>
      <c r="H7" s="8"/>
      <c r="I7" s="8"/>
      <c r="J7" s="51"/>
      <c r="K7" s="1"/>
      <c r="L7" s="12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>
        <v>6</v>
      </c>
      <c r="B8" s="8" t="s">
        <v>27</v>
      </c>
      <c r="C8" s="8" t="s">
        <v>17</v>
      </c>
      <c r="D8" s="8" t="s">
        <v>14</v>
      </c>
      <c r="E8" s="8" t="s">
        <v>19</v>
      </c>
      <c r="F8" s="8" t="s">
        <v>16</v>
      </c>
      <c r="G8" s="8" t="s">
        <v>17</v>
      </c>
      <c r="H8" s="8"/>
      <c r="I8" s="8"/>
      <c r="J8" s="51"/>
      <c r="K8" s="1"/>
      <c r="L8" s="12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8">
        <v>7</v>
      </c>
      <c r="B9" s="8" t="s">
        <v>28</v>
      </c>
      <c r="C9" s="8" t="s">
        <v>29</v>
      </c>
      <c r="D9" s="8" t="s">
        <v>14</v>
      </c>
      <c r="E9" s="8" t="s">
        <v>23</v>
      </c>
      <c r="F9" s="8" t="s">
        <v>16</v>
      </c>
      <c r="G9" s="8" t="s">
        <v>17</v>
      </c>
      <c r="H9" s="8"/>
      <c r="I9" s="8"/>
      <c r="J9" s="51"/>
      <c r="K9" s="1"/>
      <c r="L9" s="12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8">
        <v>8</v>
      </c>
      <c r="B10" s="8" t="s">
        <v>30</v>
      </c>
      <c r="C10" s="8" t="s">
        <v>21</v>
      </c>
      <c r="D10" s="8" t="s">
        <v>14</v>
      </c>
      <c r="E10" s="8" t="s">
        <v>23</v>
      </c>
      <c r="F10" s="8" t="s">
        <v>16</v>
      </c>
      <c r="G10" s="8" t="s">
        <v>17</v>
      </c>
      <c r="H10" s="8"/>
      <c r="I10" s="8"/>
      <c r="J10" s="51"/>
      <c r="K10" s="1"/>
      <c r="L10" s="12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8">
        <v>9</v>
      </c>
      <c r="B11" s="8" t="s">
        <v>31</v>
      </c>
      <c r="C11" s="8" t="s">
        <v>17</v>
      </c>
      <c r="D11" s="8" t="s">
        <v>32</v>
      </c>
      <c r="E11" s="8" t="s">
        <v>23</v>
      </c>
      <c r="F11" s="8" t="s">
        <v>16</v>
      </c>
      <c r="G11" s="8" t="s">
        <v>17</v>
      </c>
      <c r="H11" s="8"/>
      <c r="I11" s="8"/>
      <c r="J11" s="51"/>
      <c r="K11" s="1"/>
      <c r="L11" s="12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8">
        <v>10</v>
      </c>
      <c r="B12" s="8" t="s">
        <v>33</v>
      </c>
      <c r="C12" s="8" t="s">
        <v>34</v>
      </c>
      <c r="D12" s="8" t="s">
        <v>35</v>
      </c>
      <c r="E12" s="8" t="s">
        <v>15</v>
      </c>
      <c r="F12" s="8" t="s">
        <v>16</v>
      </c>
      <c r="G12" s="8" t="s">
        <v>17</v>
      </c>
      <c r="H12" s="8"/>
      <c r="I12" s="8"/>
      <c r="J12" s="51"/>
      <c r="K12" s="1"/>
      <c r="L12" s="12"/>
      <c r="M12" s="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8">
        <v>11</v>
      </c>
      <c r="B13" s="8" t="s">
        <v>36</v>
      </c>
      <c r="C13" s="8" t="s">
        <v>37</v>
      </c>
      <c r="D13" s="8" t="s">
        <v>26</v>
      </c>
      <c r="E13" s="8" t="s">
        <v>15</v>
      </c>
      <c r="F13" s="8" t="s">
        <v>16</v>
      </c>
      <c r="G13" s="8" t="s">
        <v>17</v>
      </c>
      <c r="H13" s="8"/>
      <c r="I13" s="8"/>
      <c r="J13" s="51"/>
      <c r="K13" s="1"/>
      <c r="L13" s="12"/>
      <c r="M13" s="1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3">
        <v>12</v>
      </c>
      <c r="B14" s="13" t="s">
        <v>38</v>
      </c>
      <c r="C14" s="13" t="s">
        <v>39</v>
      </c>
      <c r="D14" s="13" t="s">
        <v>35</v>
      </c>
      <c r="E14" s="13" t="s">
        <v>15</v>
      </c>
      <c r="F14" s="13" t="s">
        <v>40</v>
      </c>
      <c r="G14" s="13" t="s">
        <v>41</v>
      </c>
      <c r="H14" s="8" t="s">
        <v>17</v>
      </c>
      <c r="I14" s="8"/>
      <c r="J14" s="51"/>
      <c r="K14" s="1"/>
      <c r="L14" s="12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8"/>
      <c r="B15" s="8"/>
      <c r="C15" s="8"/>
      <c r="D15" s="8"/>
      <c r="E15" s="8"/>
      <c r="F15" s="8"/>
      <c r="G15" s="8"/>
      <c r="H15" s="8" t="s">
        <v>17</v>
      </c>
      <c r="I15" s="8"/>
      <c r="J15" s="52"/>
      <c r="K15" s="1"/>
      <c r="L15" s="12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  <c r="L16" s="12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  <c r="L17" s="12"/>
      <c r="M17" s="1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4"/>
      <c r="K18" s="1"/>
      <c r="L18" s="12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4"/>
      <c r="K19" s="1"/>
      <c r="L19" s="12"/>
      <c r="M19" s="1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4"/>
      <c r="K20" s="1"/>
      <c r="L20" s="12"/>
      <c r="M20" s="1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4"/>
      <c r="K21" s="1"/>
      <c r="L21" s="12"/>
      <c r="M21" s="1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4"/>
      <c r="K22" s="1"/>
      <c r="L22" s="12"/>
      <c r="M22" s="1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4"/>
      <c r="K23" s="1"/>
      <c r="L23" s="12"/>
      <c r="M23" s="1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4"/>
      <c r="K24" s="1"/>
      <c r="L24" s="12"/>
      <c r="M24" s="1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4"/>
      <c r="K25" s="1"/>
      <c r="L25" s="12"/>
      <c r="M25" s="1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4"/>
      <c r="K26" s="1"/>
      <c r="L26" s="12"/>
      <c r="M26" s="1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4"/>
      <c r="K27" s="1"/>
      <c r="L27" s="12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4"/>
      <c r="K28" s="1"/>
      <c r="L28" s="12"/>
      <c r="M28" s="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4"/>
      <c r="K29" s="1"/>
      <c r="L29" s="12"/>
      <c r="M29" s="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4"/>
      <c r="K30" s="1"/>
      <c r="L30" s="12"/>
      <c r="M30" s="1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4"/>
      <c r="K31" s="1"/>
      <c r="L31" s="12"/>
      <c r="M31" s="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4"/>
      <c r="K32" s="1"/>
      <c r="L32" s="12"/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4"/>
      <c r="K33" s="1"/>
      <c r="L33" s="12"/>
      <c r="M33" s="1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4"/>
      <c r="K34" s="1"/>
      <c r="L34" s="12"/>
      <c r="M34" s="1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4"/>
      <c r="K35" s="1"/>
      <c r="L35" s="12"/>
      <c r="M35" s="1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4"/>
      <c r="K36" s="1"/>
      <c r="L36" s="12"/>
      <c r="M36" s="1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4"/>
      <c r="K37" s="1"/>
      <c r="L37" s="12"/>
      <c r="M37" s="1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4"/>
      <c r="K38" s="1"/>
      <c r="L38" s="12"/>
      <c r="M38" s="1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4"/>
      <c r="K39" s="1"/>
      <c r="L39" s="12"/>
      <c r="M39" s="1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4"/>
      <c r="K40" s="1"/>
      <c r="L40" s="12"/>
      <c r="M40" s="1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4"/>
      <c r="K41" s="1"/>
      <c r="L41" s="12"/>
      <c r="M41" s="1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4"/>
      <c r="K42" s="1"/>
      <c r="L42" s="12"/>
      <c r="M42" s="1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4"/>
      <c r="K43" s="1"/>
      <c r="L43" s="12"/>
      <c r="M43" s="1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4"/>
      <c r="K44" s="1"/>
      <c r="L44" s="12"/>
      <c r="M44" s="1"/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4"/>
      <c r="K45" s="1"/>
      <c r="L45" s="12"/>
      <c r="M45" s="1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4"/>
      <c r="K46" s="1"/>
      <c r="L46" s="12"/>
      <c r="M46" s="1"/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4"/>
      <c r="K47" s="1"/>
      <c r="L47" s="12"/>
      <c r="M47" s="1"/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4"/>
      <c r="K48" s="1"/>
      <c r="L48" s="12"/>
      <c r="M48" s="1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4"/>
      <c r="K49" s="1"/>
      <c r="L49" s="12"/>
      <c r="M49" s="1"/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4"/>
      <c r="K50" s="1"/>
      <c r="L50" s="12"/>
      <c r="M50" s="1"/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4"/>
      <c r="K51" s="1"/>
      <c r="L51" s="12"/>
      <c r="M51" s="1"/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4"/>
      <c r="K52" s="1"/>
      <c r="L52" s="12"/>
      <c r="M52" s="1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4"/>
      <c r="K53" s="1"/>
      <c r="L53" s="12"/>
      <c r="M53" s="1"/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4"/>
      <c r="K54" s="1"/>
      <c r="L54" s="12"/>
      <c r="M54" s="1"/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4"/>
      <c r="K55" s="1"/>
      <c r="L55" s="12"/>
      <c r="M55" s="1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4"/>
      <c r="K56" s="1"/>
      <c r="L56" s="12"/>
      <c r="M56" s="1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4"/>
      <c r="K57" s="1"/>
      <c r="L57" s="12"/>
      <c r="M57" s="1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4"/>
      <c r="K58" s="1"/>
      <c r="L58" s="12"/>
      <c r="M58" s="1"/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4"/>
      <c r="K59" s="1"/>
      <c r="L59" s="12"/>
      <c r="M59" s="1"/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4"/>
      <c r="K60" s="1"/>
      <c r="L60" s="12"/>
      <c r="M60" s="1"/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4"/>
      <c r="K61" s="1"/>
      <c r="L61" s="12"/>
      <c r="M61" s="1"/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4"/>
      <c r="K62" s="1"/>
      <c r="L62" s="12"/>
      <c r="M62" s="1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4"/>
      <c r="K63" s="1"/>
      <c r="L63" s="12"/>
      <c r="M63" s="1"/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4"/>
      <c r="K64" s="1"/>
      <c r="L64" s="12"/>
      <c r="M64" s="1"/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4"/>
      <c r="K65" s="1"/>
      <c r="L65" s="12"/>
      <c r="M65" s="1"/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4"/>
      <c r="K66" s="1"/>
      <c r="L66" s="12"/>
      <c r="M66" s="1"/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4"/>
      <c r="K67" s="1"/>
      <c r="L67" s="12"/>
      <c r="M67" s="1"/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4"/>
      <c r="K68" s="1"/>
      <c r="L68" s="12"/>
      <c r="M68" s="1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4"/>
      <c r="K69" s="1"/>
      <c r="L69" s="12"/>
      <c r="M69" s="1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4"/>
      <c r="K70" s="1"/>
      <c r="L70" s="12"/>
      <c r="M70" s="1"/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4"/>
      <c r="K71" s="1"/>
      <c r="L71" s="12"/>
      <c r="M71" s="1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4"/>
      <c r="K72" s="1"/>
      <c r="L72" s="12"/>
      <c r="M72" s="1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4"/>
      <c r="K73" s="1"/>
      <c r="L73" s="12"/>
      <c r="M73" s="1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4"/>
      <c r="K74" s="1"/>
      <c r="L74" s="12"/>
      <c r="M74" s="1"/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4"/>
      <c r="K75" s="1"/>
      <c r="L75" s="12"/>
      <c r="M75" s="1"/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4"/>
      <c r="K76" s="1"/>
      <c r="L76" s="12"/>
      <c r="M76" s="1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4"/>
      <c r="K77" s="1"/>
      <c r="L77" s="12"/>
      <c r="M77" s="1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4"/>
      <c r="K78" s="1"/>
      <c r="L78" s="12"/>
      <c r="M78" s="1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4"/>
      <c r="K79" s="1"/>
      <c r="L79" s="12"/>
      <c r="M79" s="1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4"/>
      <c r="K80" s="1"/>
      <c r="L80" s="12"/>
      <c r="M80" s="1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4"/>
      <c r="K81" s="1"/>
      <c r="L81" s="12"/>
      <c r="M81" s="1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4"/>
      <c r="K82" s="1"/>
      <c r="L82" s="12"/>
      <c r="M82" s="1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4"/>
      <c r="K83" s="1"/>
      <c r="L83" s="12"/>
      <c r="M83" s="1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4"/>
      <c r="K84" s="1"/>
      <c r="L84" s="12"/>
      <c r="M84" s="1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4"/>
      <c r="K85" s="1"/>
      <c r="L85" s="12"/>
      <c r="M85" s="1"/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4"/>
      <c r="K86" s="1"/>
      <c r="L86" s="12"/>
      <c r="M86" s="1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4"/>
      <c r="K87" s="1"/>
      <c r="L87" s="12"/>
      <c r="M87" s="1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4"/>
      <c r="K88" s="1"/>
      <c r="L88" s="12"/>
      <c r="M88" s="1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4"/>
      <c r="K89" s="1"/>
      <c r="L89" s="12"/>
      <c r="M89" s="1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4"/>
      <c r="K90" s="1"/>
      <c r="L90" s="12"/>
      <c r="M90" s="1"/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4"/>
      <c r="K91" s="1"/>
      <c r="L91" s="12"/>
      <c r="M91" s="1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4"/>
      <c r="K92" s="1"/>
      <c r="L92" s="12"/>
      <c r="M92" s="1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4"/>
      <c r="K93" s="1"/>
      <c r="L93" s="12"/>
      <c r="M93" s="1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4"/>
      <c r="K94" s="1"/>
      <c r="L94" s="12"/>
      <c r="M94" s="1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4"/>
      <c r="K95" s="1"/>
      <c r="L95" s="12"/>
      <c r="M95" s="1"/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4"/>
      <c r="K96" s="1"/>
      <c r="L96" s="12"/>
      <c r="M96" s="1"/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4"/>
      <c r="K97" s="1"/>
      <c r="L97" s="12"/>
      <c r="M97" s="1"/>
      <c r="N97" s="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4"/>
      <c r="K98" s="1"/>
      <c r="L98" s="12"/>
      <c r="M98" s="1"/>
      <c r="N98" s="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4"/>
      <c r="K99" s="1"/>
      <c r="L99" s="12"/>
      <c r="M99" s="1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"/>
      <c r="L100" s="12"/>
      <c r="M100" s="1"/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"/>
      <c r="L101" s="12"/>
      <c r="M101" s="1"/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"/>
      <c r="L102" s="12"/>
      <c r="M102" s="1"/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"/>
      <c r="L103" s="12"/>
      <c r="M103" s="1"/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4"/>
      <c r="K104" s="1"/>
      <c r="L104" s="12"/>
      <c r="M104" s="1"/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4"/>
      <c r="K105" s="1"/>
      <c r="L105" s="12"/>
      <c r="M105" s="1"/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4"/>
      <c r="K106" s="1"/>
      <c r="L106" s="12"/>
      <c r="M106" s="1"/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4"/>
      <c r="K107" s="1"/>
      <c r="L107" s="12"/>
      <c r="M107" s="1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4"/>
      <c r="K108" s="1"/>
      <c r="L108" s="12"/>
      <c r="M108" s="1"/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4"/>
      <c r="K109" s="1"/>
      <c r="L109" s="12"/>
      <c r="M109" s="1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4"/>
      <c r="K110" s="1"/>
      <c r="L110" s="12"/>
      <c r="M110" s="1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4"/>
      <c r="K111" s="1"/>
      <c r="L111" s="12"/>
      <c r="M111" s="1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4"/>
      <c r="K112" s="1"/>
      <c r="L112" s="12"/>
      <c r="M112" s="1"/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4"/>
      <c r="K113" s="1"/>
      <c r="L113" s="12"/>
      <c r="M113" s="1"/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4"/>
      <c r="K114" s="1"/>
      <c r="L114" s="12"/>
      <c r="M114" s="1"/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4"/>
      <c r="K115" s="1"/>
      <c r="L115" s="12"/>
      <c r="M115" s="1"/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4"/>
      <c r="K116" s="1"/>
      <c r="L116" s="12"/>
      <c r="M116" s="1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4"/>
      <c r="K117" s="1"/>
      <c r="L117" s="12"/>
      <c r="M117" s="1"/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4"/>
      <c r="K118" s="1"/>
      <c r="L118" s="12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4"/>
      <c r="K119" s="1"/>
      <c r="L119" s="12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4"/>
      <c r="K120" s="1"/>
      <c r="L120" s="12"/>
      <c r="M120" s="1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4"/>
      <c r="K121" s="1"/>
      <c r="L121" s="12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4"/>
      <c r="K122" s="1"/>
      <c r="L122" s="12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4"/>
      <c r="K123" s="1"/>
      <c r="L123" s="12"/>
      <c r="M123" s="1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4"/>
      <c r="K124" s="1"/>
      <c r="L124" s="12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4"/>
      <c r="K125" s="1"/>
      <c r="L125" s="12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4"/>
      <c r="K126" s="1"/>
      <c r="L126" s="12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4"/>
      <c r="K127" s="1"/>
      <c r="L127" s="12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4"/>
      <c r="K128" s="1"/>
      <c r="L128" s="12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4"/>
      <c r="K129" s="1"/>
      <c r="L129" s="12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4"/>
      <c r="K130" s="1"/>
      <c r="L130" s="12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4"/>
      <c r="K131" s="1"/>
      <c r="L131" s="12"/>
      <c r="M131" s="1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4"/>
      <c r="K132" s="1"/>
      <c r="L132" s="12"/>
      <c r="M132" s="1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4"/>
      <c r="K133" s="1"/>
      <c r="L133" s="12"/>
      <c r="M133" s="1"/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4"/>
      <c r="K134" s="1"/>
      <c r="L134" s="12"/>
      <c r="M134" s="1"/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4"/>
      <c r="K135" s="1"/>
      <c r="L135" s="12"/>
      <c r="M135" s="1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4"/>
      <c r="K136" s="1"/>
      <c r="L136" s="12"/>
      <c r="M136" s="1"/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4"/>
      <c r="K137" s="1"/>
      <c r="L137" s="12"/>
      <c r="M137" s="1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4"/>
      <c r="K138" s="1"/>
      <c r="L138" s="12"/>
      <c r="M138" s="1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4"/>
      <c r="K139" s="1"/>
      <c r="L139" s="12"/>
      <c r="M139" s="1"/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4"/>
      <c r="K140" s="1"/>
      <c r="L140" s="12"/>
      <c r="M140" s="1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4"/>
      <c r="K141" s="1"/>
      <c r="L141" s="12"/>
      <c r="M141" s="1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4"/>
      <c r="K142" s="1"/>
      <c r="L142" s="12"/>
      <c r="M142" s="1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4"/>
      <c r="K143" s="1"/>
      <c r="L143" s="12"/>
      <c r="M143" s="1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4"/>
      <c r="K144" s="1"/>
      <c r="L144" s="12"/>
      <c r="M144" s="1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4"/>
      <c r="K145" s="1"/>
      <c r="L145" s="12"/>
      <c r="M145" s="1"/>
      <c r="N145" s="1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4"/>
      <c r="K146" s="1"/>
      <c r="L146" s="12"/>
      <c r="M146" s="1"/>
      <c r="N146" s="1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4"/>
      <c r="K147" s="1"/>
      <c r="L147" s="12"/>
      <c r="M147" s="1"/>
      <c r="N147" s="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4"/>
      <c r="K148" s="1"/>
      <c r="L148" s="12"/>
      <c r="M148" s="1"/>
      <c r="N148" s="1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4"/>
      <c r="K149" s="1"/>
      <c r="L149" s="12"/>
      <c r="M149" s="1"/>
      <c r="N149" s="1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4"/>
      <c r="K150" s="1"/>
      <c r="L150" s="12"/>
      <c r="M150" s="1"/>
      <c r="N150" s="1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4"/>
      <c r="K151" s="1"/>
      <c r="L151" s="12"/>
      <c r="M151" s="1"/>
      <c r="N151" s="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4"/>
      <c r="K152" s="1"/>
      <c r="L152" s="12"/>
      <c r="M152" s="1"/>
      <c r="N152" s="1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4"/>
      <c r="K153" s="1"/>
      <c r="L153" s="12"/>
      <c r="M153" s="1"/>
      <c r="N153" s="1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4"/>
      <c r="K154" s="1"/>
      <c r="L154" s="12"/>
      <c r="M154" s="1"/>
      <c r="N154" s="1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4"/>
      <c r="K155" s="1"/>
      <c r="L155" s="12"/>
      <c r="M155" s="1"/>
      <c r="N155" s="1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4"/>
      <c r="K156" s="1"/>
      <c r="L156" s="12"/>
      <c r="M156" s="1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4"/>
      <c r="K157" s="1"/>
      <c r="L157" s="12"/>
      <c r="M157" s="1"/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4"/>
      <c r="K158" s="1"/>
      <c r="L158" s="12"/>
      <c r="M158" s="1"/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4"/>
      <c r="K159" s="1"/>
      <c r="L159" s="12"/>
      <c r="M159" s="1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4"/>
      <c r="K160" s="1"/>
      <c r="L160" s="12"/>
      <c r="M160" s="1"/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4"/>
      <c r="K161" s="1"/>
      <c r="L161" s="12"/>
      <c r="M161" s="1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4"/>
      <c r="K162" s="1"/>
      <c r="L162" s="12"/>
      <c r="M162" s="1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4"/>
      <c r="K163" s="1"/>
      <c r="L163" s="12"/>
      <c r="M163" s="1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4"/>
      <c r="K164" s="1"/>
      <c r="L164" s="12"/>
      <c r="M164" s="1"/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4"/>
      <c r="K165" s="1"/>
      <c r="L165" s="12"/>
      <c r="M165" s="1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4"/>
      <c r="K166" s="1"/>
      <c r="L166" s="12"/>
      <c r="M166" s="1"/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4"/>
      <c r="K167" s="1"/>
      <c r="L167" s="12"/>
      <c r="M167" s="1"/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4"/>
      <c r="K168" s="1"/>
      <c r="L168" s="12"/>
      <c r="M168" s="1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4"/>
      <c r="K169" s="1"/>
      <c r="L169" s="12"/>
      <c r="M169" s="1"/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4"/>
      <c r="K170" s="1"/>
      <c r="L170" s="12"/>
      <c r="M170" s="1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4"/>
      <c r="K171" s="1"/>
      <c r="L171" s="12"/>
      <c r="M171" s="1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4"/>
      <c r="K172" s="1"/>
      <c r="L172" s="12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4"/>
      <c r="K173" s="1"/>
      <c r="L173" s="12"/>
      <c r="M173" s="1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4"/>
      <c r="K174" s="1"/>
      <c r="L174" s="12"/>
      <c r="M174" s="1"/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4"/>
      <c r="K175" s="1"/>
      <c r="L175" s="12"/>
      <c r="M175" s="1"/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4"/>
      <c r="K176" s="1"/>
      <c r="L176" s="12"/>
      <c r="M176" s="1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4"/>
      <c r="K177" s="1"/>
      <c r="L177" s="12"/>
      <c r="M177" s="1"/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4"/>
      <c r="K178" s="1"/>
      <c r="L178" s="12"/>
      <c r="M178" s="1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4"/>
      <c r="K179" s="1"/>
      <c r="L179" s="12"/>
      <c r="M179" s="1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4"/>
      <c r="K180" s="1"/>
      <c r="L180" s="12"/>
      <c r="M180" s="1"/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4"/>
      <c r="K181" s="1"/>
      <c r="L181" s="12"/>
      <c r="M181" s="1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4"/>
      <c r="K182" s="1"/>
      <c r="L182" s="12"/>
      <c r="M182" s="1"/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4"/>
      <c r="K183" s="1"/>
      <c r="L183" s="12"/>
      <c r="M183" s="1"/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4"/>
      <c r="K184" s="1"/>
      <c r="L184" s="12"/>
      <c r="M184" s="1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4"/>
      <c r="K185" s="1"/>
      <c r="L185" s="12"/>
      <c r="M185" s="1"/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4"/>
      <c r="K186" s="1"/>
      <c r="L186" s="12"/>
      <c r="M186" s="1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4"/>
      <c r="K187" s="1"/>
      <c r="L187" s="12"/>
      <c r="M187" s="1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4"/>
      <c r="K188" s="1"/>
      <c r="L188" s="12"/>
      <c r="M188" s="1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4"/>
      <c r="K189" s="1"/>
      <c r="L189" s="12"/>
      <c r="M189" s="1"/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4"/>
      <c r="K190" s="1"/>
      <c r="L190" s="12"/>
      <c r="M190" s="1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4"/>
      <c r="K191" s="1"/>
      <c r="L191" s="12"/>
      <c r="M191" s="1"/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4"/>
      <c r="K192" s="1"/>
      <c r="L192" s="12"/>
      <c r="M192" s="1"/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4"/>
      <c r="K193" s="1"/>
      <c r="L193" s="12"/>
      <c r="M193" s="1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4"/>
      <c r="K194" s="1"/>
      <c r="L194" s="12"/>
      <c r="M194" s="1"/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"/>
      <c r="L195" s="12"/>
      <c r="M195" s="1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4"/>
      <c r="K196" s="1"/>
      <c r="L196" s="12"/>
      <c r="M196" s="1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4"/>
      <c r="K197" s="1"/>
      <c r="L197" s="12"/>
      <c r="M197" s="1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4"/>
      <c r="K198" s="1"/>
      <c r="L198" s="12"/>
      <c r="M198" s="1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4"/>
      <c r="K199" s="1"/>
      <c r="L199" s="12"/>
      <c r="M199" s="1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4"/>
      <c r="K200" s="1"/>
      <c r="L200" s="12"/>
      <c r="M200" s="1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4"/>
      <c r="K201" s="1"/>
      <c r="L201" s="12"/>
      <c r="M201" s="1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4"/>
      <c r="K202" s="1"/>
      <c r="L202" s="12"/>
      <c r="M202" s="1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4"/>
      <c r="K203" s="1"/>
      <c r="L203" s="12"/>
      <c r="M203" s="1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4"/>
      <c r="K204" s="1"/>
      <c r="L204" s="12"/>
      <c r="M204" s="1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4"/>
      <c r="K205" s="1"/>
      <c r="L205" s="12"/>
      <c r="M205" s="1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4"/>
      <c r="K206" s="1"/>
      <c r="L206" s="12"/>
      <c r="M206" s="1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4"/>
      <c r="K207" s="1"/>
      <c r="L207" s="12"/>
      <c r="M207" s="1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4"/>
      <c r="K208" s="1"/>
      <c r="L208" s="12"/>
      <c r="M208" s="1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4"/>
      <c r="K209" s="1"/>
      <c r="L209" s="12"/>
      <c r="M209" s="1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4"/>
      <c r="K210" s="1"/>
      <c r="L210" s="12"/>
      <c r="M210" s="1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4"/>
      <c r="K211" s="1"/>
      <c r="L211" s="12"/>
      <c r="M211" s="1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4"/>
      <c r="K212" s="1"/>
      <c r="L212" s="12"/>
      <c r="M212" s="1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4"/>
      <c r="K213" s="1"/>
      <c r="L213" s="12"/>
      <c r="M213" s="1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4"/>
      <c r="K214" s="1"/>
      <c r="L214" s="12"/>
      <c r="M214" s="1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4"/>
      <c r="K215" s="1"/>
      <c r="L215" s="12"/>
      <c r="M215" s="1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4"/>
      <c r="K216" s="1"/>
      <c r="L216" s="12"/>
      <c r="M216" s="1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4"/>
      <c r="K217" s="1"/>
      <c r="L217" s="12"/>
      <c r="M217" s="1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4"/>
      <c r="K218" s="1"/>
      <c r="L218" s="12"/>
      <c r="M218" s="1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4"/>
      <c r="K219" s="1"/>
      <c r="L219" s="12"/>
      <c r="M219" s="1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4"/>
      <c r="K220" s="1"/>
      <c r="L220" s="12"/>
      <c r="M220" s="1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2"/>
      <c r="M221" s="1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2"/>
      <c r="M222" s="1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2"/>
      <c r="M223" s="1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2"/>
      <c r="M224" s="1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2"/>
      <c r="M225" s="1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2"/>
      <c r="M226" s="1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2"/>
      <c r="M227" s="1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2"/>
      <c r="M228" s="1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2"/>
      <c r="M229" s="1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2"/>
      <c r="M230" s="1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2"/>
      <c r="M231" s="1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2"/>
      <c r="M232" s="1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2"/>
      <c r="M233" s="1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2"/>
      <c r="M234" s="1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2"/>
      <c r="M235" s="1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2"/>
      <c r="M236" s="1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2"/>
      <c r="M237" s="1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2"/>
      <c r="M238" s="1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2"/>
      <c r="M239" s="1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2"/>
      <c r="M240" s="1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2"/>
      <c r="M241" s="1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2"/>
      <c r="M242" s="1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2"/>
      <c r="M243" s="1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2"/>
      <c r="M244" s="1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2"/>
      <c r="M245" s="1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2"/>
      <c r="M246" s="1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2"/>
      <c r="M247" s="1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2"/>
      <c r="M248" s="1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2"/>
      <c r="M249" s="1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2"/>
      <c r="M250" s="1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2"/>
      <c r="M251" s="1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2"/>
      <c r="M252" s="1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2"/>
      <c r="M253" s="1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2"/>
      <c r="M254" s="1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2"/>
      <c r="M255" s="1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2"/>
      <c r="M256" s="1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2"/>
      <c r="M257" s="1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2"/>
      <c r="M258" s="1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2"/>
      <c r="M259" s="1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2"/>
      <c r="M260" s="1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2"/>
      <c r="M261" s="1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2"/>
      <c r="M262" s="1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2"/>
      <c r="M263" s="1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2"/>
      <c r="M264" s="1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2"/>
      <c r="M265" s="1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2"/>
      <c r="M266" s="1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2"/>
      <c r="M267" s="1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2"/>
      <c r="M268" s="1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2"/>
      <c r="M269" s="1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2"/>
      <c r="M270" s="1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2"/>
      <c r="M271" s="1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2"/>
      <c r="M272" s="1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2"/>
      <c r="M273" s="1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2"/>
      <c r="M274" s="1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2"/>
      <c r="M275" s="1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2"/>
      <c r="M276" s="1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2"/>
      <c r="M277" s="1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2"/>
      <c r="M278" s="1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2"/>
      <c r="M279" s="1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2"/>
      <c r="M280" s="1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2"/>
      <c r="M281" s="1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2"/>
      <c r="M282" s="1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2"/>
      <c r="M283" s="1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2"/>
      <c r="M284" s="1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2"/>
      <c r="M285" s="1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2"/>
      <c r="M286" s="1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2"/>
      <c r="M287" s="1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2"/>
      <c r="M288" s="1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2"/>
      <c r="M289" s="1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2"/>
      <c r="M290" s="1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2"/>
      <c r="M291" s="1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2"/>
      <c r="M292" s="1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2"/>
      <c r="M293" s="1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2"/>
      <c r="M294" s="1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2"/>
      <c r="M295" s="1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2"/>
      <c r="M296" s="1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2"/>
      <c r="M297" s="1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2"/>
      <c r="M298" s="1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2"/>
      <c r="M299" s="1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2"/>
      <c r="M300" s="1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2"/>
      <c r="M301" s="1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2"/>
      <c r="M302" s="1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2"/>
      <c r="M303" s="1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2"/>
      <c r="M304" s="1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2"/>
      <c r="M305" s="1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2"/>
      <c r="M306" s="1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2"/>
      <c r="M307" s="1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2"/>
      <c r="M308" s="1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2"/>
      <c r="M309" s="1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2"/>
      <c r="M310" s="1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2"/>
      <c r="M311" s="1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2"/>
      <c r="M312" s="1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2"/>
      <c r="M313" s="1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2"/>
      <c r="M314" s="1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2"/>
      <c r="M315" s="1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2"/>
      <c r="M316" s="1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2"/>
      <c r="M317" s="1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2"/>
      <c r="M318" s="1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2"/>
      <c r="M319" s="1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2"/>
      <c r="M320" s="1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2"/>
      <c r="M321" s="1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2"/>
      <c r="M322" s="1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2"/>
      <c r="M323" s="1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2"/>
      <c r="M324" s="1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2"/>
      <c r="M325" s="1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2"/>
      <c r="M326" s="1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2"/>
      <c r="M327" s="1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2"/>
      <c r="M328" s="1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2"/>
      <c r="M329" s="1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2"/>
      <c r="M330" s="1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2"/>
      <c r="M331" s="1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2"/>
      <c r="M332" s="1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2"/>
      <c r="M333" s="1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2"/>
      <c r="M334" s="1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2"/>
      <c r="M335" s="1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2"/>
      <c r="M336" s="1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2"/>
      <c r="M337" s="1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2"/>
      <c r="M338" s="1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2"/>
      <c r="M339" s="1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2"/>
      <c r="M340" s="1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2"/>
      <c r="M341" s="1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2"/>
      <c r="M342" s="1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2"/>
      <c r="M343" s="1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2"/>
      <c r="M344" s="1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2"/>
      <c r="M345" s="1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2"/>
      <c r="M346" s="1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2"/>
      <c r="M347" s="1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2"/>
      <c r="M348" s="1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2"/>
      <c r="M349" s="1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2"/>
      <c r="M350" s="1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2"/>
      <c r="M351" s="1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2"/>
      <c r="M352" s="1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2"/>
      <c r="M353" s="1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2"/>
      <c r="M354" s="1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2"/>
      <c r="M355" s="1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2"/>
      <c r="M356" s="1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2"/>
      <c r="M357" s="1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2"/>
      <c r="M358" s="1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2"/>
      <c r="M359" s="1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2"/>
      <c r="M360" s="1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2"/>
      <c r="M361" s="1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2"/>
      <c r="M362" s="1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2"/>
      <c r="M363" s="1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2"/>
      <c r="M364" s="1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2"/>
      <c r="M365" s="1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2"/>
      <c r="M366" s="1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2"/>
      <c r="M367" s="1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2"/>
      <c r="M368" s="1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2"/>
      <c r="M369" s="1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2"/>
      <c r="M370" s="1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2"/>
      <c r="M371" s="1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2"/>
      <c r="M372" s="1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2"/>
      <c r="M373" s="1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2"/>
      <c r="M374" s="1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2"/>
      <c r="M375" s="1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2"/>
      <c r="M376" s="1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2"/>
      <c r="M377" s="1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2"/>
      <c r="M378" s="1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2"/>
      <c r="M379" s="1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2"/>
      <c r="M380" s="1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2"/>
      <c r="M381" s="1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2"/>
      <c r="M382" s="1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2"/>
      <c r="M383" s="1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2"/>
      <c r="M384" s="1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2"/>
      <c r="M385" s="1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2"/>
      <c r="M386" s="1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2"/>
      <c r="M387" s="1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2"/>
      <c r="M388" s="1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2"/>
      <c r="M389" s="1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2"/>
      <c r="M390" s="1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2"/>
      <c r="M391" s="1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2"/>
      <c r="M392" s="1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2"/>
      <c r="M393" s="1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2"/>
      <c r="M394" s="1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2"/>
      <c r="M395" s="1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2"/>
      <c r="M396" s="1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2"/>
      <c r="M397" s="1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2"/>
      <c r="M398" s="1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2"/>
      <c r="M399" s="1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2"/>
      <c r="M400" s="1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2"/>
      <c r="M401" s="1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2"/>
      <c r="M402" s="1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2"/>
      <c r="M403" s="1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2"/>
      <c r="M404" s="1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2"/>
      <c r="M405" s="1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2"/>
      <c r="M406" s="1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2"/>
      <c r="M407" s="1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2"/>
      <c r="M408" s="1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2"/>
      <c r="M409" s="1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2"/>
      <c r="M410" s="1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2"/>
      <c r="M411" s="1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2"/>
      <c r="M412" s="1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2"/>
      <c r="M413" s="1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2"/>
      <c r="M414" s="1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2"/>
      <c r="M415" s="1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2"/>
      <c r="M416" s="1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2"/>
      <c r="M417" s="1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2"/>
      <c r="M418" s="1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2"/>
      <c r="M419" s="1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2"/>
      <c r="M420" s="1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2"/>
      <c r="M421" s="1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2"/>
      <c r="M422" s="1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2"/>
      <c r="M423" s="1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2"/>
      <c r="M424" s="1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2"/>
      <c r="M425" s="1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2"/>
      <c r="M426" s="1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2"/>
      <c r="M427" s="1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2"/>
      <c r="M428" s="1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2"/>
      <c r="M429" s="1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2"/>
      <c r="M430" s="1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2"/>
      <c r="M431" s="1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2"/>
      <c r="M432" s="1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2"/>
      <c r="M433" s="1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2"/>
      <c r="M434" s="1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2"/>
      <c r="M435" s="1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2"/>
      <c r="M436" s="1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2"/>
      <c r="M437" s="1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2"/>
      <c r="M438" s="1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2"/>
      <c r="M439" s="1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2"/>
      <c r="M440" s="1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2"/>
      <c r="M441" s="1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2"/>
      <c r="M442" s="1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2"/>
      <c r="M443" s="1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2"/>
      <c r="M444" s="1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2"/>
      <c r="M445" s="1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2"/>
      <c r="M446" s="1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2"/>
      <c r="M447" s="1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2"/>
      <c r="M448" s="1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2"/>
      <c r="M449" s="1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2"/>
      <c r="M450" s="1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2"/>
      <c r="M451" s="1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2"/>
      <c r="M452" s="1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2"/>
      <c r="M453" s="1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2"/>
      <c r="M454" s="1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2"/>
      <c r="M455" s="1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2"/>
      <c r="M456" s="1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2"/>
      <c r="M457" s="1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2"/>
      <c r="M458" s="1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2"/>
      <c r="M459" s="1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2"/>
      <c r="M460" s="1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2"/>
      <c r="M461" s="1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2"/>
      <c r="M462" s="1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2"/>
      <c r="M463" s="1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2"/>
      <c r="M464" s="1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2"/>
      <c r="M465" s="1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2"/>
      <c r="M466" s="1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2"/>
      <c r="M467" s="1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2"/>
      <c r="M468" s="1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2"/>
      <c r="M469" s="1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2"/>
      <c r="M470" s="1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2"/>
      <c r="M471" s="1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2"/>
      <c r="M472" s="1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2"/>
      <c r="M473" s="1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2"/>
      <c r="M474" s="1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2"/>
      <c r="M475" s="1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2"/>
      <c r="M476" s="1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2"/>
      <c r="M477" s="1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2"/>
      <c r="M478" s="1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2"/>
      <c r="M479" s="1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2"/>
      <c r="M480" s="1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2"/>
      <c r="M481" s="1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2"/>
      <c r="M482" s="1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2"/>
      <c r="M483" s="1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2"/>
      <c r="M484" s="1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2"/>
      <c r="M485" s="1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2"/>
      <c r="M486" s="1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2"/>
      <c r="M487" s="1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2"/>
      <c r="M488" s="1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2"/>
      <c r="M489" s="1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2"/>
      <c r="M490" s="1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2"/>
      <c r="M491" s="1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2"/>
      <c r="M492" s="1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2"/>
      <c r="M493" s="1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2"/>
      <c r="M494" s="1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2"/>
      <c r="M495" s="1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2"/>
      <c r="M496" s="1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2"/>
      <c r="M497" s="1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2"/>
      <c r="M498" s="1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2"/>
      <c r="M499" s="1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2"/>
      <c r="M500" s="1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2"/>
      <c r="M501" s="1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2"/>
      <c r="M502" s="1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2"/>
      <c r="M503" s="1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2"/>
      <c r="M504" s="1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2"/>
      <c r="M505" s="1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2"/>
      <c r="M506" s="1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2"/>
      <c r="M507" s="1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2"/>
      <c r="M508" s="1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2"/>
      <c r="M509" s="1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2"/>
      <c r="M510" s="1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2"/>
      <c r="M511" s="1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2"/>
      <c r="M512" s="1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2"/>
      <c r="M513" s="1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2"/>
      <c r="M514" s="1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2"/>
      <c r="M515" s="1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2"/>
      <c r="M516" s="1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2"/>
      <c r="M517" s="1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2"/>
      <c r="M518" s="1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2"/>
      <c r="M519" s="1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2"/>
      <c r="M520" s="1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2"/>
      <c r="M521" s="1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2"/>
      <c r="M522" s="1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2"/>
      <c r="M523" s="1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2"/>
      <c r="M524" s="1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2"/>
      <c r="M525" s="1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2"/>
      <c r="M526" s="1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2"/>
      <c r="M527" s="1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2"/>
      <c r="M528" s="1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2"/>
      <c r="M529" s="1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2"/>
      <c r="M530" s="1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2"/>
      <c r="M531" s="1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2"/>
      <c r="M532" s="1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2"/>
      <c r="M533" s="1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2"/>
      <c r="M534" s="1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2"/>
      <c r="M535" s="1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2"/>
      <c r="M536" s="1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2"/>
      <c r="M537" s="1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2"/>
      <c r="M538" s="1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2"/>
      <c r="M539" s="1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2"/>
      <c r="M540" s="1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2"/>
      <c r="M541" s="1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2"/>
      <c r="M542" s="1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2"/>
      <c r="M543" s="1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2"/>
      <c r="M544" s="1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2"/>
      <c r="M545" s="1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2"/>
      <c r="M546" s="1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2"/>
      <c r="M547" s="1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2"/>
      <c r="M548" s="1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2"/>
      <c r="M549" s="1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2"/>
      <c r="M550" s="1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2"/>
      <c r="M551" s="1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2"/>
      <c r="M552" s="1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2"/>
      <c r="M553" s="1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2"/>
      <c r="M554" s="1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2"/>
      <c r="M555" s="1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2"/>
      <c r="M556" s="1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2"/>
      <c r="M557" s="1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2"/>
      <c r="M558" s="1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2"/>
      <c r="M559" s="1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2"/>
      <c r="M560" s="1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2"/>
      <c r="M561" s="1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2"/>
      <c r="M562" s="1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2"/>
      <c r="M563" s="1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2"/>
      <c r="M564" s="1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2"/>
      <c r="M565" s="1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2"/>
      <c r="M566" s="1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2"/>
      <c r="M567" s="1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2"/>
      <c r="M568" s="1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2"/>
      <c r="M569" s="1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2"/>
      <c r="M570" s="1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2"/>
      <c r="M571" s="1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2"/>
      <c r="M572" s="1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2"/>
      <c r="M573" s="1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2"/>
      <c r="M574" s="1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2"/>
      <c r="M575" s="1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2"/>
      <c r="M576" s="1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2"/>
      <c r="M577" s="1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2"/>
      <c r="M578" s="1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2"/>
      <c r="M579" s="1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2"/>
      <c r="M580" s="1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2"/>
      <c r="M581" s="1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2"/>
      <c r="M582" s="1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2"/>
      <c r="M583" s="1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2"/>
      <c r="M584" s="1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2"/>
      <c r="M585" s="1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2"/>
      <c r="M586" s="1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2"/>
      <c r="M587" s="1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2"/>
      <c r="M588" s="1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2"/>
      <c r="M589" s="1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2"/>
      <c r="M590" s="1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2"/>
      <c r="M591" s="1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2"/>
      <c r="M592" s="1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2"/>
      <c r="M593" s="1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2"/>
      <c r="M594" s="1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2"/>
      <c r="M595" s="1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2"/>
      <c r="M596" s="1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2"/>
      <c r="M597" s="1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2"/>
      <c r="M598" s="1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2"/>
      <c r="M599" s="1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2"/>
      <c r="M600" s="1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2"/>
      <c r="M601" s="1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2"/>
      <c r="M602" s="1"/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2"/>
      <c r="M603" s="1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2"/>
      <c r="M604" s="1"/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2"/>
      <c r="M605" s="1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2"/>
      <c r="M606" s="1"/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2"/>
      <c r="M607" s="1"/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2"/>
      <c r="M608" s="1"/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2"/>
      <c r="M609" s="1"/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2"/>
      <c r="M610" s="1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2"/>
      <c r="M611" s="1"/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2"/>
      <c r="M612" s="1"/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2"/>
      <c r="M613" s="1"/>
      <c r="N613" s="1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2"/>
      <c r="M614" s="1"/>
      <c r="N614" s="1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2"/>
      <c r="M615" s="1"/>
      <c r="N615" s="1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2"/>
      <c r="M616" s="1"/>
      <c r="N616" s="1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2"/>
      <c r="M617" s="1"/>
      <c r="N617" s="1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2"/>
      <c r="M618" s="1"/>
      <c r="N618" s="1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2"/>
      <c r="M619" s="1"/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2"/>
      <c r="M620" s="1"/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2"/>
      <c r="M621" s="1"/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2"/>
      <c r="M622" s="1"/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2"/>
      <c r="M623" s="1"/>
      <c r="N623" s="1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2"/>
      <c r="M624" s="1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2"/>
      <c r="M625" s="1"/>
      <c r="N625" s="1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2"/>
      <c r="M626" s="1"/>
      <c r="N626" s="1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2"/>
      <c r="M627" s="1"/>
      <c r="N627" s="1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2"/>
      <c r="M628" s="1"/>
      <c r="N628" s="1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2"/>
      <c r="M629" s="1"/>
      <c r="N629" s="1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2"/>
      <c r="M630" s="1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2"/>
      <c r="M631" s="1"/>
      <c r="N631" s="1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2"/>
      <c r="M632" s="1"/>
      <c r="N632" s="1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2"/>
      <c r="M633" s="1"/>
      <c r="N633" s="1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2"/>
      <c r="M634" s="1"/>
      <c r="N634" s="1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2"/>
      <c r="M635" s="1"/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2"/>
      <c r="M636" s="1"/>
      <c r="N636" s="1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2"/>
      <c r="M637" s="1"/>
      <c r="N637" s="1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2"/>
      <c r="M638" s="1"/>
      <c r="N638" s="1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2"/>
      <c r="M639" s="1"/>
      <c r="N639" s="1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2"/>
      <c r="M640" s="1"/>
      <c r="N640" s="1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2"/>
      <c r="M641" s="1"/>
      <c r="N641" s="1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2"/>
      <c r="M642" s="1"/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2"/>
      <c r="M643" s="1"/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2"/>
      <c r="M644" s="1"/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2"/>
      <c r="M645" s="1"/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2"/>
      <c r="M646" s="1"/>
      <c r="N646" s="1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2"/>
      <c r="M647" s="1"/>
      <c r="N647" s="1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2"/>
      <c r="M648" s="1"/>
      <c r="N648" s="1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2"/>
      <c r="M649" s="1"/>
      <c r="N649" s="1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2"/>
      <c r="M650" s="1"/>
      <c r="N650" s="1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2"/>
      <c r="M651" s="1"/>
      <c r="N651" s="1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2"/>
      <c r="M652" s="1"/>
      <c r="N652" s="1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2"/>
      <c r="M653" s="1"/>
      <c r="N653" s="1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2"/>
      <c r="M654" s="1"/>
      <c r="N654" s="1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2"/>
      <c r="M655" s="1"/>
      <c r="N655" s="1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2"/>
      <c r="M656" s="1"/>
      <c r="N656" s="1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2"/>
      <c r="M657" s="1"/>
      <c r="N657" s="1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2"/>
      <c r="M658" s="1"/>
      <c r="N658" s="1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2"/>
      <c r="M659" s="1"/>
      <c r="N659" s="1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2"/>
      <c r="M660" s="1"/>
      <c r="N660" s="1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2"/>
      <c r="M661" s="1"/>
      <c r="N661" s="1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2"/>
      <c r="M662" s="1"/>
      <c r="N662" s="1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2"/>
      <c r="M663" s="1"/>
      <c r="N663" s="1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2"/>
      <c r="M664" s="1"/>
      <c r="N664" s="1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2"/>
      <c r="M665" s="1"/>
      <c r="N665" s="1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2"/>
      <c r="M666" s="1"/>
      <c r="N666" s="1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2"/>
      <c r="M667" s="1"/>
      <c r="N667" s="1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2"/>
      <c r="M668" s="1"/>
      <c r="N668" s="1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2"/>
      <c r="M669" s="1"/>
      <c r="N669" s="1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2"/>
      <c r="M670" s="1"/>
      <c r="N670" s="1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2"/>
      <c r="M671" s="1"/>
      <c r="N671" s="1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2"/>
      <c r="M672" s="1"/>
      <c r="N672" s="1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2"/>
      <c r="M673" s="1"/>
      <c r="N673" s="1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2"/>
      <c r="M674" s="1"/>
      <c r="N674" s="1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2"/>
      <c r="M675" s="1"/>
      <c r="N675" s="1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2"/>
      <c r="M676" s="1"/>
      <c r="N676" s="1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2"/>
      <c r="M677" s="1"/>
      <c r="N677" s="1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2"/>
      <c r="M678" s="1"/>
      <c r="N678" s="1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2"/>
      <c r="M679" s="1"/>
      <c r="N679" s="1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2"/>
      <c r="M680" s="1"/>
      <c r="N680" s="1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2"/>
      <c r="M681" s="1"/>
      <c r="N681" s="1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2"/>
      <c r="M682" s="1"/>
      <c r="N682" s="1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2"/>
      <c r="M683" s="1"/>
      <c r="N683" s="1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2"/>
      <c r="M684" s="1"/>
      <c r="N684" s="1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2"/>
      <c r="M685" s="1"/>
      <c r="N685" s="1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2"/>
      <c r="M686" s="1"/>
      <c r="N686" s="1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2"/>
      <c r="M687" s="1"/>
      <c r="N687" s="1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2"/>
      <c r="M688" s="1"/>
      <c r="N688" s="1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2"/>
      <c r="M689" s="1"/>
      <c r="N689" s="1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2"/>
      <c r="M690" s="1"/>
      <c r="N690" s="1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2"/>
      <c r="M691" s="1"/>
      <c r="N691" s="1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2"/>
      <c r="M692" s="1"/>
      <c r="N692" s="1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2"/>
      <c r="M693" s="1"/>
      <c r="N693" s="1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2"/>
      <c r="M694" s="1"/>
      <c r="N694" s="1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2"/>
      <c r="M695" s="1"/>
      <c r="N695" s="1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2"/>
      <c r="M696" s="1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2"/>
      <c r="M697" s="1"/>
      <c r="N697" s="1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2"/>
      <c r="M698" s="1"/>
      <c r="N698" s="1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2"/>
      <c r="M699" s="1"/>
      <c r="N699" s="1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2"/>
      <c r="M700" s="1"/>
      <c r="N700" s="1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2"/>
      <c r="M701" s="1"/>
      <c r="N701" s="1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2"/>
      <c r="M702" s="1"/>
      <c r="N702" s="1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2"/>
      <c r="M703" s="1"/>
      <c r="N703" s="1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2"/>
      <c r="M704" s="1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2"/>
      <c r="M705" s="1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2"/>
      <c r="M706" s="1"/>
      <c r="N706" s="1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2"/>
      <c r="M707" s="1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2"/>
      <c r="M708" s="1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2"/>
      <c r="M709" s="1"/>
      <c r="N709" s="1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2"/>
      <c r="M710" s="1"/>
      <c r="N710" s="1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2"/>
      <c r="M711" s="1"/>
      <c r="N711" s="1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2"/>
      <c r="M712" s="1"/>
      <c r="N712" s="1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2"/>
      <c r="M713" s="1"/>
      <c r="N713" s="1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2"/>
      <c r="M714" s="1"/>
      <c r="N714" s="1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2"/>
      <c r="M715" s="1"/>
      <c r="N715" s="1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2"/>
      <c r="M716" s="1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2"/>
      <c r="M717" s="1"/>
      <c r="N717" s="1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2"/>
      <c r="M718" s="1"/>
      <c r="N718" s="1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2"/>
      <c r="M719" s="1"/>
      <c r="N719" s="1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2"/>
      <c r="M720" s="1"/>
      <c r="N720" s="1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2"/>
      <c r="M721" s="1"/>
      <c r="N721" s="1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2"/>
      <c r="M722" s="1"/>
      <c r="N722" s="1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2"/>
      <c r="M723" s="1"/>
      <c r="N723" s="1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2"/>
      <c r="M724" s="1"/>
      <c r="N724" s="1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2"/>
      <c r="M725" s="1"/>
      <c r="N725" s="1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2"/>
      <c r="M726" s="1"/>
      <c r="N726" s="1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2"/>
      <c r="M727" s="1"/>
      <c r="N727" s="1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2"/>
      <c r="M728" s="1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2"/>
      <c r="M729" s="1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2"/>
      <c r="M730" s="1"/>
      <c r="N730" s="1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2"/>
      <c r="M731" s="1"/>
      <c r="N731" s="1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2"/>
      <c r="M732" s="1"/>
      <c r="N732" s="1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2"/>
      <c r="M733" s="1"/>
      <c r="N733" s="1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2"/>
      <c r="M734" s="1"/>
      <c r="N734" s="1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2"/>
      <c r="M735" s="1"/>
      <c r="N735" s="1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2"/>
      <c r="M736" s="1"/>
      <c r="N736" s="1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2"/>
      <c r="M737" s="1"/>
      <c r="N737" s="1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2"/>
      <c r="M738" s="1"/>
      <c r="N738" s="1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2"/>
      <c r="M739" s="1"/>
      <c r="N739" s="1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2"/>
      <c r="M740" s="1"/>
      <c r="N740" s="1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2"/>
      <c r="M741" s="1"/>
      <c r="N741" s="1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2"/>
      <c r="M742" s="1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2"/>
      <c r="M743" s="1"/>
      <c r="N743" s="1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2"/>
      <c r="M744" s="1"/>
      <c r="N744" s="1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2"/>
      <c r="M745" s="1"/>
      <c r="N745" s="1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2"/>
      <c r="M746" s="1"/>
      <c r="N746" s="1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2"/>
      <c r="M747" s="1"/>
      <c r="N747" s="1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2"/>
      <c r="M748" s="1"/>
      <c r="N748" s="1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2"/>
      <c r="M749" s="1"/>
      <c r="N749" s="1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2"/>
      <c r="M750" s="1"/>
      <c r="N750" s="1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2"/>
      <c r="M751" s="1"/>
      <c r="N751" s="1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2"/>
      <c r="M752" s="1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2"/>
      <c r="M753" s="1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2"/>
      <c r="M754" s="1"/>
      <c r="N754" s="1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2"/>
      <c r="M755" s="1"/>
      <c r="N755" s="1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2"/>
      <c r="M756" s="1"/>
      <c r="N756" s="1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2"/>
      <c r="M757" s="1"/>
      <c r="N757" s="1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2"/>
      <c r="M758" s="1"/>
      <c r="N758" s="1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2"/>
      <c r="M759" s="1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2"/>
      <c r="M760" s="1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2"/>
      <c r="M761" s="1"/>
      <c r="N761" s="1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2"/>
      <c r="M762" s="1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2"/>
      <c r="M763" s="1"/>
      <c r="N763" s="1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2"/>
      <c r="M764" s="1"/>
      <c r="N764" s="1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2"/>
      <c r="M765" s="1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2"/>
      <c r="M766" s="1"/>
      <c r="N766" s="1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2"/>
      <c r="M767" s="1"/>
      <c r="N767" s="1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2"/>
      <c r="M768" s="1"/>
      <c r="N768" s="1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2"/>
      <c r="M769" s="1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2"/>
      <c r="M770" s="1"/>
      <c r="N770" s="1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2"/>
      <c r="M771" s="1"/>
      <c r="N771" s="1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2"/>
      <c r="M772" s="1"/>
      <c r="N772" s="1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2"/>
      <c r="M773" s="1"/>
      <c r="N773" s="1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2"/>
      <c r="M774" s="1"/>
      <c r="N774" s="1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2"/>
      <c r="M775" s="1"/>
      <c r="N775" s="1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2"/>
      <c r="M776" s="1"/>
      <c r="N776" s="1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2"/>
      <c r="M777" s="1"/>
      <c r="N777" s="1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2"/>
      <c r="M778" s="1"/>
      <c r="N778" s="1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2"/>
      <c r="M779" s="1"/>
      <c r="N779" s="1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2"/>
      <c r="M780" s="1"/>
      <c r="N780" s="1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2"/>
      <c r="M781" s="1"/>
      <c r="N781" s="1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2"/>
      <c r="M782" s="1"/>
      <c r="N782" s="1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2"/>
      <c r="M783" s="1"/>
      <c r="N783" s="1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2"/>
      <c r="M784" s="1"/>
      <c r="N784" s="1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2"/>
      <c r="M785" s="1"/>
      <c r="N785" s="1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2"/>
      <c r="M786" s="1"/>
      <c r="N786" s="1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2"/>
      <c r="M787" s="1"/>
      <c r="N787" s="1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2"/>
      <c r="M788" s="1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2"/>
      <c r="M789" s="1"/>
      <c r="N789" s="1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2"/>
      <c r="M790" s="1"/>
      <c r="N790" s="1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2"/>
      <c r="M791" s="1"/>
      <c r="N791" s="1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2"/>
      <c r="M792" s="1"/>
      <c r="N792" s="1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2"/>
      <c r="M793" s="1"/>
      <c r="N793" s="1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2"/>
      <c r="M794" s="1"/>
      <c r="N794" s="1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2"/>
      <c r="M795" s="1"/>
      <c r="N795" s="1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2"/>
      <c r="M796" s="1"/>
      <c r="N796" s="1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2"/>
      <c r="M797" s="1"/>
      <c r="N797" s="1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2"/>
      <c r="M798" s="1"/>
      <c r="N798" s="1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2"/>
      <c r="M799" s="1"/>
      <c r="N799" s="1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2"/>
      <c r="M800" s="1"/>
      <c r="N800" s="1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2"/>
      <c r="M801" s="1"/>
      <c r="N801" s="1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2"/>
      <c r="M802" s="1"/>
      <c r="N802" s="1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2"/>
      <c r="M803" s="1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2"/>
      <c r="M804" s="1"/>
      <c r="N804" s="1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2"/>
      <c r="M805" s="1"/>
      <c r="N805" s="1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2"/>
      <c r="M806" s="1"/>
      <c r="N806" s="1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2"/>
      <c r="M807" s="1"/>
      <c r="N807" s="1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2"/>
      <c r="M808" s="1"/>
      <c r="N808" s="1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2"/>
      <c r="M809" s="1"/>
      <c r="N809" s="1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2"/>
      <c r="M810" s="1"/>
      <c r="N810" s="1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2"/>
      <c r="M811" s="1"/>
      <c r="N811" s="1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2"/>
      <c r="M812" s="1"/>
      <c r="N812" s="1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2"/>
      <c r="M813" s="1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2"/>
      <c r="M814" s="1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2"/>
      <c r="M815" s="1"/>
      <c r="N815" s="1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2"/>
      <c r="M816" s="1"/>
      <c r="N816" s="1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2"/>
      <c r="M817" s="1"/>
      <c r="N817" s="1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2"/>
      <c r="M818" s="1"/>
      <c r="N818" s="1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2"/>
      <c r="M819" s="1"/>
      <c r="N819" s="1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2"/>
      <c r="M820" s="1"/>
      <c r="N820" s="1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2"/>
      <c r="M821" s="1"/>
      <c r="N821" s="1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2"/>
      <c r="M822" s="1"/>
      <c r="N822" s="1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2"/>
      <c r="M823" s="1"/>
      <c r="N823" s="1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2"/>
      <c r="M824" s="1"/>
      <c r="N824" s="1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2"/>
      <c r="M825" s="1"/>
      <c r="N825" s="1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2"/>
      <c r="M826" s="1"/>
      <c r="N826" s="1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2"/>
      <c r="M827" s="1"/>
      <c r="N827" s="1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2"/>
      <c r="M828" s="1"/>
      <c r="N828" s="1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2"/>
      <c r="M829" s="1"/>
      <c r="N829" s="1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2"/>
      <c r="M830" s="1"/>
      <c r="N830" s="1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2"/>
      <c r="M831" s="1"/>
      <c r="N831" s="1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2"/>
      <c r="M832" s="1"/>
      <c r="N832" s="1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2"/>
      <c r="M833" s="1"/>
      <c r="N833" s="1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2"/>
      <c r="M834" s="1"/>
      <c r="N834" s="1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2"/>
      <c r="M835" s="1"/>
      <c r="N835" s="1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2"/>
      <c r="M836" s="1"/>
      <c r="N836" s="1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2"/>
      <c r="M837" s="1"/>
      <c r="N837" s="1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2"/>
      <c r="M838" s="1"/>
      <c r="N838" s="1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2"/>
      <c r="M839" s="1"/>
      <c r="N839" s="1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2"/>
      <c r="M840" s="1"/>
      <c r="N840" s="1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2"/>
      <c r="M841" s="1"/>
      <c r="N841" s="1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2"/>
      <c r="M842" s="1"/>
      <c r="N842" s="1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2"/>
      <c r="M843" s="1"/>
      <c r="N843" s="1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2"/>
      <c r="M844" s="1"/>
      <c r="N844" s="1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2"/>
      <c r="M845" s="1"/>
      <c r="N845" s="1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2"/>
      <c r="M846" s="1"/>
      <c r="N846" s="1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2"/>
      <c r="M847" s="1"/>
      <c r="N847" s="1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2"/>
      <c r="M848" s="1"/>
      <c r="N848" s="1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2"/>
      <c r="M849" s="1"/>
      <c r="N849" s="1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2"/>
      <c r="M850" s="1"/>
      <c r="N850" s="1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2"/>
      <c r="M851" s="1"/>
      <c r="N851" s="1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2"/>
      <c r="M852" s="1"/>
      <c r="N852" s="1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2"/>
      <c r="M853" s="1"/>
      <c r="N853" s="1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2"/>
      <c r="M854" s="1"/>
      <c r="N854" s="1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2"/>
      <c r="M855" s="1"/>
      <c r="N855" s="1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2"/>
      <c r="M856" s="1"/>
      <c r="N856" s="1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2"/>
      <c r="M857" s="1"/>
      <c r="N857" s="1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2"/>
      <c r="M858" s="1"/>
      <c r="N858" s="1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2"/>
      <c r="M859" s="1"/>
      <c r="N859" s="1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2"/>
      <c r="M860" s="1"/>
      <c r="N860" s="1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2"/>
      <c r="M861" s="1"/>
      <c r="N861" s="1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2"/>
      <c r="M862" s="1"/>
      <c r="N862" s="1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2"/>
      <c r="M863" s="1"/>
      <c r="N863" s="1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2"/>
      <c r="M864" s="1"/>
      <c r="N864" s="1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2"/>
      <c r="M865" s="1"/>
      <c r="N865" s="1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2"/>
      <c r="M866" s="1"/>
      <c r="N866" s="1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2"/>
      <c r="M867" s="1"/>
      <c r="N867" s="1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2"/>
      <c r="M868" s="1"/>
      <c r="N868" s="1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2"/>
      <c r="M869" s="1"/>
      <c r="N869" s="1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2"/>
      <c r="M870" s="1"/>
      <c r="N870" s="1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2"/>
      <c r="M871" s="1"/>
      <c r="N871" s="1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2"/>
      <c r="M872" s="1"/>
      <c r="N872" s="1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2"/>
      <c r="M873" s="1"/>
      <c r="N873" s="1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2"/>
      <c r="M874" s="1"/>
      <c r="N874" s="1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2"/>
      <c r="M875" s="1"/>
      <c r="N875" s="1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2"/>
      <c r="M876" s="1"/>
      <c r="N876" s="1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2"/>
      <c r="M877" s="1"/>
      <c r="N877" s="1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2"/>
      <c r="M878" s="1"/>
      <c r="N878" s="1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2"/>
      <c r="M879" s="1"/>
      <c r="N879" s="1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2"/>
      <c r="M880" s="1"/>
      <c r="N880" s="1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2"/>
      <c r="M881" s="1"/>
      <c r="N881" s="1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2"/>
      <c r="M882" s="1"/>
      <c r="N882" s="1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2"/>
      <c r="M883" s="1"/>
      <c r="N883" s="1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2"/>
      <c r="M884" s="1"/>
      <c r="N884" s="1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2"/>
      <c r="M885" s="1"/>
      <c r="N885" s="1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2"/>
      <c r="M886" s="1"/>
      <c r="N886" s="1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2"/>
      <c r="M887" s="1"/>
      <c r="N887" s="1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2"/>
      <c r="M888" s="1"/>
      <c r="N888" s="1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2"/>
      <c r="M889" s="1"/>
      <c r="N889" s="1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2"/>
      <c r="M890" s="1"/>
      <c r="N890" s="1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2"/>
      <c r="M891" s="1"/>
      <c r="N891" s="1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2"/>
      <c r="M892" s="1"/>
      <c r="N892" s="1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2"/>
      <c r="M893" s="1"/>
      <c r="N893" s="1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2"/>
      <c r="M894" s="1"/>
      <c r="N894" s="1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2"/>
      <c r="M895" s="1"/>
      <c r="N895" s="1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2"/>
      <c r="M896" s="1"/>
      <c r="N896" s="1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2"/>
      <c r="M897" s="1"/>
      <c r="N897" s="1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2"/>
      <c r="M898" s="1"/>
      <c r="N898" s="1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2"/>
      <c r="M899" s="1"/>
      <c r="N899" s="1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2"/>
      <c r="M900" s="1"/>
      <c r="N900" s="1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2"/>
      <c r="M901" s="1"/>
      <c r="N901" s="1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2"/>
      <c r="M902" s="1"/>
      <c r="N902" s="1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2"/>
      <c r="M903" s="1"/>
      <c r="N903" s="1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2"/>
      <c r="M904" s="1"/>
      <c r="N904" s="1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2"/>
      <c r="M905" s="1"/>
      <c r="N905" s="1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2"/>
      <c r="M906" s="1"/>
      <c r="N906" s="1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2"/>
      <c r="M907" s="1"/>
      <c r="N907" s="1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2"/>
      <c r="M908" s="1"/>
      <c r="N908" s="1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2"/>
      <c r="M909" s="1"/>
      <c r="N909" s="1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2"/>
      <c r="M910" s="1"/>
      <c r="N910" s="1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2"/>
      <c r="M911" s="1"/>
      <c r="N911" s="1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2"/>
      <c r="M912" s="1"/>
      <c r="N912" s="1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2"/>
      <c r="M913" s="1"/>
      <c r="N913" s="1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2"/>
      <c r="M914" s="1"/>
      <c r="N914" s="1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2"/>
      <c r="M915" s="1"/>
      <c r="N915" s="1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2"/>
      <c r="M916" s="1"/>
      <c r="N916" s="1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2"/>
      <c r="M917" s="1"/>
      <c r="N917" s="1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2"/>
      <c r="M918" s="1"/>
      <c r="N918" s="1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2"/>
      <c r="M919" s="1"/>
      <c r="N919" s="1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2"/>
      <c r="M920" s="1"/>
      <c r="N920" s="1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2"/>
      <c r="M921" s="1"/>
      <c r="N921" s="1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2"/>
      <c r="M922" s="1"/>
      <c r="N922" s="1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2"/>
      <c r="M923" s="1"/>
      <c r="N923" s="1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2"/>
      <c r="M924" s="1"/>
      <c r="N924" s="1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2"/>
      <c r="M925" s="1"/>
      <c r="N925" s="1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2"/>
      <c r="M926" s="1"/>
      <c r="N926" s="1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2"/>
      <c r="M927" s="1"/>
      <c r="N927" s="1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2"/>
      <c r="M928" s="1"/>
      <c r="N928" s="1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2"/>
      <c r="M929" s="1"/>
      <c r="N929" s="1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2"/>
      <c r="M930" s="1"/>
      <c r="N930" s="1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2"/>
      <c r="M931" s="1"/>
      <c r="N931" s="1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2"/>
      <c r="M932" s="1"/>
      <c r="N932" s="1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2"/>
      <c r="M933" s="1"/>
      <c r="N933" s="1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2"/>
      <c r="M934" s="1"/>
      <c r="N934" s="1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2"/>
      <c r="M935" s="1"/>
      <c r="N935" s="1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2"/>
      <c r="M936" s="1"/>
      <c r="N936" s="1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2"/>
      <c r="M937" s="1"/>
      <c r="N937" s="1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2"/>
      <c r="M938" s="1"/>
      <c r="N938" s="1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2"/>
      <c r="M939" s="1"/>
      <c r="N939" s="1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2"/>
      <c r="M940" s="1"/>
      <c r="N940" s="1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2"/>
      <c r="M941" s="1"/>
      <c r="N941" s="1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2"/>
      <c r="M942" s="1"/>
      <c r="N942" s="1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2"/>
      <c r="M943" s="1"/>
      <c r="N943" s="1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2"/>
      <c r="M944" s="1"/>
      <c r="N944" s="1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2"/>
      <c r="M945" s="1"/>
      <c r="N945" s="1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2"/>
      <c r="M946" s="1"/>
      <c r="N946" s="1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2"/>
      <c r="M947" s="1"/>
      <c r="N947" s="1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2"/>
      <c r="M948" s="1"/>
      <c r="N948" s="1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2"/>
      <c r="M949" s="1"/>
      <c r="N949" s="1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2"/>
      <c r="M950" s="1"/>
      <c r="N950" s="1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2"/>
      <c r="M951" s="1"/>
      <c r="N951" s="1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2"/>
      <c r="M952" s="1"/>
      <c r="N952" s="1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2"/>
      <c r="M953" s="1"/>
      <c r="N953" s="1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2"/>
      <c r="M954" s="1"/>
      <c r="N954" s="1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2"/>
      <c r="M955" s="1"/>
      <c r="N955" s="1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2"/>
      <c r="M956" s="1"/>
      <c r="N956" s="1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2"/>
      <c r="M957" s="1"/>
      <c r="N957" s="1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2"/>
      <c r="M958" s="1"/>
      <c r="N958" s="1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2"/>
      <c r="M959" s="1"/>
      <c r="N959" s="1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2"/>
      <c r="M960" s="1"/>
      <c r="N960" s="1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2"/>
      <c r="M961" s="1"/>
      <c r="N961" s="1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2"/>
      <c r="M962" s="1"/>
      <c r="N962" s="1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2"/>
      <c r="M963" s="1"/>
      <c r="N963" s="1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2"/>
      <c r="M964" s="1"/>
      <c r="N964" s="1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2"/>
      <c r="M965" s="1"/>
      <c r="N965" s="1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2"/>
      <c r="M966" s="1"/>
      <c r="N966" s="1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2"/>
      <c r="M967" s="1"/>
      <c r="N967" s="1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2"/>
      <c r="M968" s="1"/>
      <c r="N968" s="1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2"/>
      <c r="M969" s="1"/>
      <c r="N969" s="1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2"/>
      <c r="M970" s="1"/>
      <c r="N970" s="1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2"/>
      <c r="M971" s="1"/>
      <c r="N971" s="1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2"/>
      <c r="M972" s="1"/>
      <c r="N972" s="1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2"/>
      <c r="M973" s="1"/>
      <c r="N973" s="1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2"/>
      <c r="M974" s="1"/>
      <c r="N974" s="1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2"/>
      <c r="M975" s="1"/>
      <c r="N975" s="1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2"/>
      <c r="M976" s="1"/>
      <c r="N976" s="1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2"/>
      <c r="M977" s="1"/>
      <c r="N977" s="1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2"/>
      <c r="M978" s="1"/>
      <c r="N978" s="1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2"/>
      <c r="M979" s="1"/>
      <c r="N979" s="1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2"/>
      <c r="M980" s="1"/>
      <c r="N980" s="1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2"/>
      <c r="M981" s="1"/>
      <c r="N981" s="1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2"/>
      <c r="M982" s="1"/>
      <c r="N982" s="1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2"/>
      <c r="M983" s="1"/>
      <c r="N983" s="1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2"/>
      <c r="M984" s="1"/>
      <c r="N984" s="1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2"/>
      <c r="M985" s="1"/>
      <c r="N985" s="1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2"/>
      <c r="M986" s="1"/>
      <c r="N986" s="1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2"/>
      <c r="M987" s="1"/>
      <c r="N987" s="1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2"/>
      <c r="M988" s="1"/>
      <c r="N988" s="1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2"/>
      <c r="M989" s="1"/>
      <c r="N989" s="1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2"/>
      <c r="M990" s="1"/>
      <c r="N990" s="1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2"/>
      <c r="M991" s="1"/>
      <c r="N991" s="1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2"/>
      <c r="M992" s="1"/>
      <c r="N992" s="1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2"/>
      <c r="M993" s="1"/>
      <c r="N993" s="1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2"/>
      <c r="M994" s="1"/>
      <c r="N994" s="1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2"/>
      <c r="M995" s="1"/>
      <c r="N995" s="1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2"/>
      <c r="M996" s="1"/>
      <c r="N996" s="1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2"/>
      <c r="M997" s="1"/>
      <c r="N997" s="1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2"/>
      <c r="M998" s="1"/>
      <c r="N998" s="1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2"/>
      <c r="M999" s="1"/>
      <c r="N999" s="1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2"/>
      <c r="M1000" s="1"/>
      <c r="N1000" s="1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L2" xr:uid="{00000000-0009-0000-0000-000000000000}"/>
  <mergeCells count="2">
    <mergeCell ref="A1:L1"/>
    <mergeCell ref="J3:J1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workbookViewId="0">
      <selection activeCell="A3" sqref="A3:G17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17" t="s">
        <v>1</v>
      </c>
      <c r="B2" s="18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10</v>
      </c>
      <c r="I2" s="4" t="s">
        <v>5</v>
      </c>
      <c r="J2" s="5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6"/>
      <c r="Y2" s="16"/>
      <c r="Z2" s="16"/>
    </row>
    <row r="3" spans="1:26">
      <c r="A3" s="20">
        <v>1</v>
      </c>
      <c r="B3" s="21" t="s">
        <v>42</v>
      </c>
      <c r="C3" s="20" t="s">
        <v>43</v>
      </c>
      <c r="D3" s="20" t="s">
        <v>14</v>
      </c>
      <c r="E3" s="20" t="s">
        <v>19</v>
      </c>
      <c r="F3" s="20" t="s">
        <v>44</v>
      </c>
      <c r="G3" s="20" t="s">
        <v>43</v>
      </c>
      <c r="H3" s="53" t="s">
        <v>45</v>
      </c>
      <c r="I3" s="9" t="s">
        <v>19</v>
      </c>
      <c r="J3" s="10">
        <f>7/15</f>
        <v>0.46666666666666667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20">
        <v>2</v>
      </c>
      <c r="B4" s="21" t="s">
        <v>46</v>
      </c>
      <c r="C4" s="20" t="s">
        <v>47</v>
      </c>
      <c r="D4" s="20" t="s">
        <v>14</v>
      </c>
      <c r="E4" s="20" t="s">
        <v>15</v>
      </c>
      <c r="F4" s="20" t="s">
        <v>44</v>
      </c>
      <c r="G4" s="20" t="s">
        <v>43</v>
      </c>
      <c r="H4" s="51"/>
      <c r="I4" s="9" t="s">
        <v>15</v>
      </c>
      <c r="J4" s="10">
        <f>5/15</f>
        <v>0.33333333333333331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20">
        <v>3</v>
      </c>
      <c r="B5" s="21" t="s">
        <v>48</v>
      </c>
      <c r="C5" s="20" t="s">
        <v>49</v>
      </c>
      <c r="D5" s="20" t="s">
        <v>14</v>
      </c>
      <c r="E5" s="20" t="s">
        <v>23</v>
      </c>
      <c r="F5" s="20" t="s">
        <v>44</v>
      </c>
      <c r="G5" s="20" t="s">
        <v>43</v>
      </c>
      <c r="H5" s="51"/>
      <c r="I5" s="8" t="s">
        <v>23</v>
      </c>
      <c r="J5" s="10">
        <f>3/15</f>
        <v>0.2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A6" s="20">
        <v>4</v>
      </c>
      <c r="B6" s="21" t="s">
        <v>50</v>
      </c>
      <c r="C6" s="20" t="s">
        <v>51</v>
      </c>
      <c r="D6" s="20" t="s">
        <v>35</v>
      </c>
      <c r="E6" s="20" t="s">
        <v>23</v>
      </c>
      <c r="F6" s="20" t="s">
        <v>44</v>
      </c>
      <c r="G6" s="20" t="s">
        <v>43</v>
      </c>
      <c r="H6" s="51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20">
        <v>5</v>
      </c>
      <c r="B7" s="21" t="s">
        <v>52</v>
      </c>
      <c r="C7" s="20" t="s">
        <v>53</v>
      </c>
      <c r="D7" s="20" t="s">
        <v>32</v>
      </c>
      <c r="E7" s="20" t="s">
        <v>15</v>
      </c>
      <c r="F7" s="20" t="s">
        <v>44</v>
      </c>
      <c r="G7" s="20" t="s">
        <v>43</v>
      </c>
      <c r="H7" s="51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20">
        <v>6</v>
      </c>
      <c r="B8" s="21" t="s">
        <v>54</v>
      </c>
      <c r="C8" s="20" t="s">
        <v>55</v>
      </c>
      <c r="D8" s="20" t="s">
        <v>32</v>
      </c>
      <c r="E8" s="20" t="s">
        <v>19</v>
      </c>
      <c r="F8" s="20" t="s">
        <v>44</v>
      </c>
      <c r="G8" s="20" t="s">
        <v>43</v>
      </c>
      <c r="H8" s="51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>
        <v>7</v>
      </c>
      <c r="B9" s="21" t="s">
        <v>56</v>
      </c>
      <c r="C9" s="20" t="s">
        <v>57</v>
      </c>
      <c r="D9" s="20" t="s">
        <v>35</v>
      </c>
      <c r="E9" s="20" t="s">
        <v>19</v>
      </c>
      <c r="F9" s="20" t="s">
        <v>44</v>
      </c>
      <c r="G9" s="20" t="s">
        <v>43</v>
      </c>
      <c r="H9" s="51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">
        <v>8</v>
      </c>
      <c r="B10" s="21" t="s">
        <v>58</v>
      </c>
      <c r="C10" s="20" t="s">
        <v>57</v>
      </c>
      <c r="D10" s="20" t="s">
        <v>35</v>
      </c>
      <c r="E10" s="20" t="s">
        <v>19</v>
      </c>
      <c r="F10" s="20" t="s">
        <v>44</v>
      </c>
      <c r="G10" s="20" t="s">
        <v>43</v>
      </c>
      <c r="H10" s="51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>
        <v>9</v>
      </c>
      <c r="B11" s="21" t="s">
        <v>59</v>
      </c>
      <c r="C11" s="20" t="s">
        <v>57</v>
      </c>
      <c r="D11" s="20" t="s">
        <v>35</v>
      </c>
      <c r="E11" s="20" t="s">
        <v>19</v>
      </c>
      <c r="F11" s="20" t="s">
        <v>44</v>
      </c>
      <c r="G11" s="20" t="s">
        <v>43</v>
      </c>
      <c r="H11" s="51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>
        <v>10</v>
      </c>
      <c r="B12" s="22" t="s">
        <v>60</v>
      </c>
      <c r="C12" s="20" t="s">
        <v>57</v>
      </c>
      <c r="D12" s="20" t="s">
        <v>35</v>
      </c>
      <c r="E12" s="20" t="s">
        <v>15</v>
      </c>
      <c r="F12" s="20" t="s">
        <v>44</v>
      </c>
      <c r="G12" s="20" t="s">
        <v>43</v>
      </c>
      <c r="H12" s="51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0">
        <v>11</v>
      </c>
      <c r="B13" s="21" t="s">
        <v>61</v>
      </c>
      <c r="C13" s="20" t="s">
        <v>62</v>
      </c>
      <c r="D13" s="20" t="s">
        <v>35</v>
      </c>
      <c r="E13" s="20" t="s">
        <v>19</v>
      </c>
      <c r="F13" s="20" t="s">
        <v>44</v>
      </c>
      <c r="G13" s="20" t="s">
        <v>43</v>
      </c>
      <c r="H13" s="51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0">
        <v>12</v>
      </c>
      <c r="B14" s="21" t="s">
        <v>63</v>
      </c>
      <c r="C14" s="20" t="s">
        <v>62</v>
      </c>
      <c r="D14" s="20" t="s">
        <v>35</v>
      </c>
      <c r="E14" s="20" t="s">
        <v>15</v>
      </c>
      <c r="F14" s="20" t="s">
        <v>44</v>
      </c>
      <c r="G14" s="20" t="s">
        <v>43</v>
      </c>
      <c r="H14" s="51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0">
        <v>13</v>
      </c>
      <c r="B15" s="21" t="s">
        <v>64</v>
      </c>
      <c r="C15" s="20" t="s">
        <v>62</v>
      </c>
      <c r="D15" s="20" t="s">
        <v>35</v>
      </c>
      <c r="E15" s="20" t="s">
        <v>19</v>
      </c>
      <c r="F15" s="20" t="s">
        <v>44</v>
      </c>
      <c r="G15" s="20" t="s">
        <v>43</v>
      </c>
      <c r="H15" s="51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0">
        <v>14</v>
      </c>
      <c r="B16" s="21" t="s">
        <v>65</v>
      </c>
      <c r="C16" s="20" t="s">
        <v>53</v>
      </c>
      <c r="D16" s="20" t="s">
        <v>14</v>
      </c>
      <c r="E16" s="20" t="s">
        <v>23</v>
      </c>
      <c r="F16" s="20" t="s">
        <v>44</v>
      </c>
      <c r="G16" s="20" t="s">
        <v>43</v>
      </c>
      <c r="H16" s="51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0">
        <v>15</v>
      </c>
      <c r="B17" s="21" t="s">
        <v>66</v>
      </c>
      <c r="C17" s="20" t="s">
        <v>67</v>
      </c>
      <c r="D17" s="20" t="s">
        <v>14</v>
      </c>
      <c r="E17" s="20" t="s">
        <v>15</v>
      </c>
      <c r="F17" s="20" t="s">
        <v>44</v>
      </c>
      <c r="G17" s="20" t="s">
        <v>43</v>
      </c>
      <c r="H17" s="52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3"/>
      <c r="B18" s="24"/>
      <c r="C18" s="23"/>
      <c r="D18" s="23"/>
      <c r="E18" s="23"/>
      <c r="F18" s="23"/>
      <c r="G18" s="23"/>
      <c r="H18" s="2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3"/>
      <c r="B19" s="24"/>
      <c r="C19" s="23"/>
      <c r="D19" s="23"/>
      <c r="E19" s="23"/>
      <c r="F19" s="23"/>
      <c r="G19" s="23"/>
      <c r="H19" s="2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3"/>
      <c r="B20" s="24"/>
      <c r="C20" s="23"/>
      <c r="D20" s="23"/>
      <c r="E20" s="23"/>
      <c r="F20" s="23"/>
      <c r="G20" s="23"/>
      <c r="H20" s="2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3"/>
      <c r="B21" s="24"/>
      <c r="C21" s="23"/>
      <c r="D21" s="23"/>
      <c r="E21" s="23"/>
      <c r="F21" s="23"/>
      <c r="G21" s="23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3"/>
      <c r="B22" s="24"/>
      <c r="C22" s="23"/>
      <c r="D22" s="23"/>
      <c r="E22" s="23"/>
      <c r="F22" s="23"/>
      <c r="G22" s="23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3"/>
      <c r="B23" s="24"/>
      <c r="C23" s="23"/>
      <c r="D23" s="23"/>
      <c r="E23" s="23"/>
      <c r="F23" s="23"/>
      <c r="G23" s="23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3"/>
      <c r="B24" s="24"/>
      <c r="C24" s="23"/>
      <c r="D24" s="23"/>
      <c r="E24" s="23"/>
      <c r="F24" s="23"/>
      <c r="G24" s="23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3"/>
      <c r="B25" s="24"/>
      <c r="C25" s="23"/>
      <c r="D25" s="23"/>
      <c r="E25" s="23"/>
      <c r="F25" s="23"/>
      <c r="G25" s="23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3"/>
      <c r="B26" s="24"/>
      <c r="C26" s="23"/>
      <c r="D26" s="23"/>
      <c r="E26" s="23"/>
      <c r="F26" s="23"/>
      <c r="G26" s="23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3"/>
      <c r="B27" s="24"/>
      <c r="C27" s="23"/>
      <c r="D27" s="23"/>
      <c r="E27" s="23"/>
      <c r="F27" s="23"/>
      <c r="G27" s="23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3"/>
      <c r="B28" s="24"/>
      <c r="C28" s="23"/>
      <c r="D28" s="23"/>
      <c r="E28" s="23"/>
      <c r="F28" s="23"/>
      <c r="G28" s="23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3"/>
      <c r="B29" s="24"/>
      <c r="C29" s="23"/>
      <c r="D29" s="23"/>
      <c r="E29" s="23"/>
      <c r="F29" s="23"/>
      <c r="G29" s="23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3"/>
      <c r="B30" s="24"/>
      <c r="C30" s="23"/>
      <c r="D30" s="23"/>
      <c r="E30" s="23"/>
      <c r="F30" s="23"/>
      <c r="G30" s="23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3"/>
      <c r="B31" s="24"/>
      <c r="C31" s="23"/>
      <c r="D31" s="23"/>
      <c r="E31" s="23"/>
      <c r="F31" s="23"/>
      <c r="G31" s="23"/>
      <c r="H31" s="2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3"/>
      <c r="B32" s="24"/>
      <c r="C32" s="23"/>
      <c r="D32" s="23"/>
      <c r="E32" s="23"/>
      <c r="F32" s="23"/>
      <c r="G32" s="23"/>
      <c r="H32" s="2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3"/>
      <c r="B33" s="24"/>
      <c r="C33" s="23"/>
      <c r="D33" s="23"/>
      <c r="E33" s="23"/>
      <c r="F33" s="23"/>
      <c r="G33" s="23"/>
      <c r="H33" s="2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3"/>
      <c r="B34" s="24"/>
      <c r="C34" s="23"/>
      <c r="D34" s="23"/>
      <c r="E34" s="23"/>
      <c r="F34" s="23"/>
      <c r="G34" s="23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3"/>
      <c r="B35" s="24"/>
      <c r="C35" s="23"/>
      <c r="D35" s="23"/>
      <c r="E35" s="23"/>
      <c r="F35" s="23"/>
      <c r="G35" s="23"/>
      <c r="H35" s="2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3"/>
      <c r="B36" s="24"/>
      <c r="C36" s="23"/>
      <c r="D36" s="23"/>
      <c r="E36" s="23"/>
      <c r="F36" s="23"/>
      <c r="G36" s="23"/>
      <c r="H36" s="2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3"/>
      <c r="B37" s="24"/>
      <c r="C37" s="23"/>
      <c r="D37" s="23"/>
      <c r="E37" s="23"/>
      <c r="F37" s="23"/>
      <c r="G37" s="23"/>
      <c r="H37" s="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3"/>
      <c r="B38" s="24"/>
      <c r="C38" s="23"/>
      <c r="D38" s="23"/>
      <c r="E38" s="23"/>
      <c r="F38" s="23"/>
      <c r="G38" s="23"/>
      <c r="H38" s="2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3"/>
      <c r="B39" s="24"/>
      <c r="C39" s="23"/>
      <c r="D39" s="23"/>
      <c r="E39" s="23"/>
      <c r="F39" s="23"/>
      <c r="G39" s="23"/>
      <c r="H39" s="2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3"/>
      <c r="B40" s="24"/>
      <c r="C40" s="23"/>
      <c r="D40" s="23"/>
      <c r="E40" s="23"/>
      <c r="F40" s="23"/>
      <c r="G40" s="23"/>
      <c r="H40" s="2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3"/>
      <c r="B41" s="24"/>
      <c r="C41" s="23"/>
      <c r="D41" s="23"/>
      <c r="E41" s="23"/>
      <c r="F41" s="23"/>
      <c r="G41" s="23"/>
      <c r="H41" s="2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3"/>
      <c r="B42" s="24"/>
      <c r="C42" s="23"/>
      <c r="D42" s="23"/>
      <c r="E42" s="23"/>
      <c r="F42" s="23"/>
      <c r="G42" s="23"/>
      <c r="H42" s="2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3"/>
      <c r="B43" s="24"/>
      <c r="C43" s="23"/>
      <c r="D43" s="23"/>
      <c r="E43" s="23"/>
      <c r="F43" s="23"/>
      <c r="G43" s="23"/>
      <c r="H43" s="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3"/>
      <c r="B44" s="24"/>
      <c r="C44" s="23"/>
      <c r="D44" s="23"/>
      <c r="E44" s="23"/>
      <c r="F44" s="23"/>
      <c r="G44" s="23"/>
      <c r="H44" s="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3"/>
      <c r="B45" s="24"/>
      <c r="C45" s="23"/>
      <c r="D45" s="23"/>
      <c r="E45" s="23"/>
      <c r="F45" s="23"/>
      <c r="G45" s="23"/>
      <c r="H45" s="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3"/>
      <c r="B46" s="24"/>
      <c r="C46" s="23"/>
      <c r="D46" s="23"/>
      <c r="E46" s="23"/>
      <c r="F46" s="23"/>
      <c r="G46" s="23"/>
      <c r="H46" s="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3"/>
      <c r="B47" s="24"/>
      <c r="C47" s="23"/>
      <c r="D47" s="23"/>
      <c r="E47" s="23"/>
      <c r="F47" s="23"/>
      <c r="G47" s="23"/>
      <c r="H47" s="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3"/>
      <c r="B48" s="24"/>
      <c r="C48" s="23"/>
      <c r="D48" s="23"/>
      <c r="E48" s="23"/>
      <c r="F48" s="23"/>
      <c r="G48" s="23"/>
      <c r="H48" s="2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3"/>
      <c r="B49" s="24"/>
      <c r="C49" s="23"/>
      <c r="D49" s="23"/>
      <c r="E49" s="23"/>
      <c r="F49" s="23"/>
      <c r="G49" s="23"/>
      <c r="H49" s="2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3"/>
      <c r="B50" s="24"/>
      <c r="C50" s="23"/>
      <c r="D50" s="23"/>
      <c r="E50" s="23"/>
      <c r="F50" s="23"/>
      <c r="G50" s="23"/>
      <c r="H50" s="2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3"/>
      <c r="B51" s="24"/>
      <c r="C51" s="23"/>
      <c r="D51" s="23"/>
      <c r="E51" s="23"/>
      <c r="F51" s="23"/>
      <c r="G51" s="23"/>
      <c r="H51" s="2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3"/>
      <c r="B52" s="24"/>
      <c r="C52" s="23"/>
      <c r="D52" s="23"/>
      <c r="E52" s="23"/>
      <c r="F52" s="23"/>
      <c r="G52" s="23"/>
      <c r="H52" s="2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3"/>
      <c r="B53" s="24"/>
      <c r="C53" s="23"/>
      <c r="D53" s="23"/>
      <c r="E53" s="23"/>
      <c r="F53" s="23"/>
      <c r="G53" s="23"/>
      <c r="H53" s="2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3"/>
      <c r="B54" s="24"/>
      <c r="C54" s="23"/>
      <c r="D54" s="23"/>
      <c r="E54" s="23"/>
      <c r="F54" s="23"/>
      <c r="G54" s="23"/>
      <c r="H54" s="2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3"/>
      <c r="B55" s="24"/>
      <c r="C55" s="23"/>
      <c r="D55" s="23"/>
      <c r="E55" s="23"/>
      <c r="F55" s="23"/>
      <c r="G55" s="23"/>
      <c r="H55" s="25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3"/>
      <c r="B56" s="24"/>
      <c r="C56" s="23"/>
      <c r="D56" s="23"/>
      <c r="E56" s="23"/>
      <c r="F56" s="23"/>
      <c r="G56" s="23"/>
      <c r="H56" s="25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3"/>
      <c r="B57" s="24"/>
      <c r="C57" s="23"/>
      <c r="D57" s="23"/>
      <c r="E57" s="23"/>
      <c r="F57" s="23"/>
      <c r="G57" s="23"/>
      <c r="H57" s="25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3"/>
      <c r="B58" s="24"/>
      <c r="C58" s="23"/>
      <c r="D58" s="23"/>
      <c r="E58" s="23"/>
      <c r="F58" s="23"/>
      <c r="G58" s="23"/>
      <c r="H58" s="2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3"/>
      <c r="B59" s="24"/>
      <c r="C59" s="23"/>
      <c r="D59" s="23"/>
      <c r="E59" s="23"/>
      <c r="F59" s="23"/>
      <c r="G59" s="23"/>
      <c r="H59" s="2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3"/>
      <c r="B60" s="24"/>
      <c r="C60" s="23"/>
      <c r="D60" s="23"/>
      <c r="E60" s="23"/>
      <c r="F60" s="23"/>
      <c r="G60" s="23"/>
      <c r="H60" s="2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3"/>
      <c r="B61" s="24"/>
      <c r="C61" s="23"/>
      <c r="D61" s="23"/>
      <c r="E61" s="23"/>
      <c r="F61" s="23"/>
      <c r="G61" s="23"/>
      <c r="H61" s="2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3"/>
      <c r="B62" s="24"/>
      <c r="C62" s="23"/>
      <c r="D62" s="23"/>
      <c r="E62" s="23"/>
      <c r="F62" s="23"/>
      <c r="G62" s="23"/>
      <c r="H62" s="25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3"/>
      <c r="B63" s="24"/>
      <c r="C63" s="23"/>
      <c r="D63" s="23"/>
      <c r="E63" s="23"/>
      <c r="F63" s="23"/>
      <c r="G63" s="23"/>
      <c r="H63" s="25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3"/>
      <c r="B64" s="24"/>
      <c r="C64" s="23"/>
      <c r="D64" s="23"/>
      <c r="E64" s="23"/>
      <c r="F64" s="23"/>
      <c r="G64" s="23"/>
      <c r="H64" s="25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3"/>
      <c r="B65" s="24"/>
      <c r="C65" s="23"/>
      <c r="D65" s="23"/>
      <c r="E65" s="23"/>
      <c r="F65" s="23"/>
      <c r="G65" s="23"/>
      <c r="H65" s="2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3"/>
      <c r="B66" s="24"/>
      <c r="C66" s="23"/>
      <c r="D66" s="23"/>
      <c r="E66" s="23"/>
      <c r="F66" s="23"/>
      <c r="G66" s="23"/>
      <c r="H66" s="25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3"/>
      <c r="B67" s="24"/>
      <c r="C67" s="23"/>
      <c r="D67" s="23"/>
      <c r="E67" s="23"/>
      <c r="F67" s="23"/>
      <c r="G67" s="23"/>
      <c r="H67" s="25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3"/>
      <c r="B68" s="24"/>
      <c r="C68" s="23"/>
      <c r="D68" s="23"/>
      <c r="E68" s="23"/>
      <c r="F68" s="23"/>
      <c r="G68" s="23"/>
      <c r="H68" s="2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3"/>
      <c r="B69" s="24"/>
      <c r="C69" s="23"/>
      <c r="D69" s="23"/>
      <c r="E69" s="23"/>
      <c r="F69" s="23"/>
      <c r="G69" s="23"/>
      <c r="H69" s="2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3"/>
      <c r="B70" s="24"/>
      <c r="C70" s="23"/>
      <c r="D70" s="23"/>
      <c r="E70" s="23"/>
      <c r="F70" s="23"/>
      <c r="G70" s="23"/>
      <c r="H70" s="2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3"/>
      <c r="B71" s="24"/>
      <c r="C71" s="23"/>
      <c r="D71" s="23"/>
      <c r="E71" s="23"/>
      <c r="F71" s="23"/>
      <c r="G71" s="23"/>
      <c r="H71" s="2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3"/>
      <c r="B72" s="24"/>
      <c r="C72" s="23"/>
      <c r="D72" s="23"/>
      <c r="E72" s="23"/>
      <c r="F72" s="23"/>
      <c r="G72" s="23"/>
      <c r="H72" s="2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3"/>
      <c r="B73" s="24"/>
      <c r="C73" s="23"/>
      <c r="D73" s="23"/>
      <c r="E73" s="23"/>
      <c r="F73" s="23"/>
      <c r="G73" s="23"/>
      <c r="H73" s="2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3"/>
      <c r="B74" s="24"/>
      <c r="C74" s="23"/>
      <c r="D74" s="23"/>
      <c r="E74" s="23"/>
      <c r="F74" s="23"/>
      <c r="G74" s="23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3"/>
      <c r="B75" s="24"/>
      <c r="C75" s="23"/>
      <c r="D75" s="23"/>
      <c r="E75" s="23"/>
      <c r="F75" s="23"/>
      <c r="G75" s="23"/>
      <c r="H75" s="2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3"/>
      <c r="B76" s="24"/>
      <c r="C76" s="23"/>
      <c r="D76" s="23"/>
      <c r="E76" s="23"/>
      <c r="F76" s="23"/>
      <c r="G76" s="23"/>
      <c r="H76" s="2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3"/>
      <c r="B77" s="24"/>
      <c r="C77" s="23"/>
      <c r="D77" s="23"/>
      <c r="E77" s="23"/>
      <c r="F77" s="23"/>
      <c r="G77" s="23"/>
      <c r="H77" s="2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3"/>
      <c r="B78" s="24"/>
      <c r="C78" s="23"/>
      <c r="D78" s="23"/>
      <c r="E78" s="23"/>
      <c r="F78" s="23"/>
      <c r="G78" s="23"/>
      <c r="H78" s="2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3"/>
      <c r="B79" s="24"/>
      <c r="C79" s="23"/>
      <c r="D79" s="23"/>
      <c r="E79" s="23"/>
      <c r="F79" s="23"/>
      <c r="G79" s="23"/>
      <c r="H79" s="2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3"/>
      <c r="B80" s="24"/>
      <c r="C80" s="23"/>
      <c r="D80" s="23"/>
      <c r="E80" s="23"/>
      <c r="F80" s="23"/>
      <c r="G80" s="23"/>
      <c r="H80" s="2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3"/>
      <c r="B81" s="24"/>
      <c r="C81" s="23"/>
      <c r="D81" s="23"/>
      <c r="E81" s="23"/>
      <c r="F81" s="23"/>
      <c r="G81" s="23"/>
      <c r="H81" s="2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3"/>
      <c r="B82" s="24"/>
      <c r="C82" s="23"/>
      <c r="D82" s="23"/>
      <c r="E82" s="23"/>
      <c r="F82" s="23"/>
      <c r="G82" s="23"/>
      <c r="H82" s="2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3"/>
      <c r="B83" s="24"/>
      <c r="C83" s="23"/>
      <c r="D83" s="23"/>
      <c r="E83" s="23"/>
      <c r="F83" s="23"/>
      <c r="G83" s="23"/>
      <c r="H83" s="2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3"/>
      <c r="B84" s="24"/>
      <c r="C84" s="23"/>
      <c r="D84" s="23"/>
      <c r="E84" s="23"/>
      <c r="F84" s="23"/>
      <c r="G84" s="23"/>
      <c r="H84" s="2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3"/>
      <c r="B85" s="24"/>
      <c r="C85" s="23"/>
      <c r="D85" s="23"/>
      <c r="E85" s="23"/>
      <c r="F85" s="23"/>
      <c r="G85" s="23"/>
      <c r="H85" s="2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3"/>
      <c r="B86" s="24"/>
      <c r="C86" s="23"/>
      <c r="D86" s="23"/>
      <c r="E86" s="23"/>
      <c r="F86" s="23"/>
      <c r="G86" s="23"/>
      <c r="H86" s="2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3"/>
      <c r="B87" s="24"/>
      <c r="C87" s="23"/>
      <c r="D87" s="23"/>
      <c r="E87" s="23"/>
      <c r="F87" s="23"/>
      <c r="G87" s="23"/>
      <c r="H87" s="2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3"/>
      <c r="B88" s="24"/>
      <c r="C88" s="23"/>
      <c r="D88" s="23"/>
      <c r="E88" s="23"/>
      <c r="F88" s="23"/>
      <c r="G88" s="23"/>
      <c r="H88" s="2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3"/>
      <c r="B89" s="24"/>
      <c r="C89" s="23"/>
      <c r="D89" s="23"/>
      <c r="E89" s="23"/>
      <c r="F89" s="23"/>
      <c r="G89" s="23"/>
      <c r="H89" s="2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3"/>
      <c r="B90" s="24"/>
      <c r="C90" s="23"/>
      <c r="D90" s="23"/>
      <c r="E90" s="23"/>
      <c r="F90" s="23"/>
      <c r="G90" s="23"/>
      <c r="H90" s="2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3"/>
      <c r="B91" s="24"/>
      <c r="C91" s="23"/>
      <c r="D91" s="23"/>
      <c r="E91" s="23"/>
      <c r="F91" s="23"/>
      <c r="G91" s="23"/>
      <c r="H91" s="2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3"/>
      <c r="B92" s="24"/>
      <c r="C92" s="23"/>
      <c r="D92" s="23"/>
      <c r="E92" s="23"/>
      <c r="F92" s="23"/>
      <c r="G92" s="23"/>
      <c r="H92" s="2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3"/>
      <c r="B93" s="24"/>
      <c r="C93" s="23"/>
      <c r="D93" s="23"/>
      <c r="E93" s="23"/>
      <c r="F93" s="23"/>
      <c r="G93" s="23"/>
      <c r="H93" s="2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3"/>
      <c r="B94" s="24"/>
      <c r="C94" s="23"/>
      <c r="D94" s="23"/>
      <c r="E94" s="23"/>
      <c r="F94" s="23"/>
      <c r="G94" s="23"/>
      <c r="H94" s="2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3"/>
      <c r="B95" s="24"/>
      <c r="C95" s="23"/>
      <c r="D95" s="23"/>
      <c r="E95" s="23"/>
      <c r="F95" s="23"/>
      <c r="G95" s="23"/>
      <c r="H95" s="2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3"/>
      <c r="B96" s="24"/>
      <c r="C96" s="23"/>
      <c r="D96" s="23"/>
      <c r="E96" s="23"/>
      <c r="F96" s="23"/>
      <c r="G96" s="23"/>
      <c r="H96" s="2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3"/>
      <c r="B97" s="24"/>
      <c r="C97" s="23"/>
      <c r="D97" s="23"/>
      <c r="E97" s="23"/>
      <c r="F97" s="23"/>
      <c r="G97" s="23"/>
      <c r="H97" s="2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3"/>
      <c r="B98" s="24"/>
      <c r="C98" s="23"/>
      <c r="D98" s="23"/>
      <c r="E98" s="23"/>
      <c r="F98" s="23"/>
      <c r="G98" s="23"/>
      <c r="H98" s="2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3"/>
      <c r="B99" s="24"/>
      <c r="C99" s="23"/>
      <c r="D99" s="23"/>
      <c r="E99" s="23"/>
      <c r="F99" s="23"/>
      <c r="G99" s="23"/>
      <c r="H99" s="2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3"/>
      <c r="B100" s="24"/>
      <c r="C100" s="23"/>
      <c r="D100" s="23"/>
      <c r="E100" s="23"/>
      <c r="F100" s="23"/>
      <c r="G100" s="23"/>
      <c r="H100" s="2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3"/>
      <c r="B101" s="24"/>
      <c r="C101" s="23"/>
      <c r="D101" s="23"/>
      <c r="E101" s="23"/>
      <c r="F101" s="23"/>
      <c r="G101" s="23"/>
      <c r="H101" s="2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3"/>
      <c r="B102" s="24"/>
      <c r="C102" s="23"/>
      <c r="D102" s="23"/>
      <c r="E102" s="23"/>
      <c r="F102" s="23"/>
      <c r="G102" s="23"/>
      <c r="H102" s="2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3"/>
      <c r="B103" s="24"/>
      <c r="C103" s="23"/>
      <c r="D103" s="23"/>
      <c r="E103" s="23"/>
      <c r="F103" s="23"/>
      <c r="G103" s="23"/>
      <c r="H103" s="2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3"/>
      <c r="B104" s="24"/>
      <c r="C104" s="23"/>
      <c r="D104" s="23"/>
      <c r="E104" s="23"/>
      <c r="F104" s="23"/>
      <c r="G104" s="23"/>
      <c r="H104" s="2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3"/>
      <c r="B105" s="24"/>
      <c r="C105" s="23"/>
      <c r="D105" s="23"/>
      <c r="E105" s="23"/>
      <c r="F105" s="23"/>
      <c r="G105" s="23"/>
      <c r="H105" s="2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3"/>
      <c r="B106" s="24"/>
      <c r="C106" s="23"/>
      <c r="D106" s="23"/>
      <c r="E106" s="23"/>
      <c r="F106" s="23"/>
      <c r="G106" s="23"/>
      <c r="H106" s="2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3"/>
      <c r="B107" s="24"/>
      <c r="C107" s="23"/>
      <c r="D107" s="23"/>
      <c r="E107" s="23"/>
      <c r="F107" s="23"/>
      <c r="G107" s="23"/>
      <c r="H107" s="2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3"/>
      <c r="B108" s="24"/>
      <c r="C108" s="23"/>
      <c r="D108" s="23"/>
      <c r="E108" s="23"/>
      <c r="F108" s="23"/>
      <c r="G108" s="23"/>
      <c r="H108" s="2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3"/>
      <c r="B109" s="24"/>
      <c r="C109" s="23"/>
      <c r="D109" s="23"/>
      <c r="E109" s="23"/>
      <c r="F109" s="23"/>
      <c r="G109" s="23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3"/>
      <c r="B110" s="24"/>
      <c r="C110" s="23"/>
      <c r="D110" s="23"/>
      <c r="E110" s="23"/>
      <c r="F110" s="23"/>
      <c r="G110" s="23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3"/>
      <c r="B111" s="24"/>
      <c r="C111" s="23"/>
      <c r="D111" s="23"/>
      <c r="E111" s="23"/>
      <c r="F111" s="23"/>
      <c r="G111" s="23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3"/>
      <c r="B112" s="24"/>
      <c r="C112" s="23"/>
      <c r="D112" s="23"/>
      <c r="E112" s="23"/>
      <c r="F112" s="23"/>
      <c r="G112" s="23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3"/>
      <c r="B113" s="24"/>
      <c r="C113" s="23"/>
      <c r="D113" s="23"/>
      <c r="E113" s="23"/>
      <c r="F113" s="23"/>
      <c r="G113" s="23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3"/>
      <c r="B114" s="24"/>
      <c r="C114" s="23"/>
      <c r="D114" s="23"/>
      <c r="E114" s="23"/>
      <c r="F114" s="23"/>
      <c r="G114" s="23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3"/>
      <c r="B115" s="24"/>
      <c r="C115" s="23"/>
      <c r="D115" s="23"/>
      <c r="E115" s="23"/>
      <c r="F115" s="23"/>
      <c r="G115" s="23"/>
      <c r="H115" s="2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3"/>
      <c r="B116" s="24"/>
      <c r="C116" s="23"/>
      <c r="D116" s="23"/>
      <c r="E116" s="23"/>
      <c r="F116" s="23"/>
      <c r="G116" s="23"/>
      <c r="H116" s="2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3"/>
      <c r="B117" s="24"/>
      <c r="C117" s="23"/>
      <c r="D117" s="23"/>
      <c r="E117" s="23"/>
      <c r="F117" s="23"/>
      <c r="G117" s="23"/>
      <c r="H117" s="2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3"/>
      <c r="B118" s="24"/>
      <c r="C118" s="23"/>
      <c r="D118" s="23"/>
      <c r="E118" s="23"/>
      <c r="F118" s="23"/>
      <c r="G118" s="23"/>
      <c r="H118" s="2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3"/>
      <c r="B119" s="24"/>
      <c r="C119" s="23"/>
      <c r="D119" s="23"/>
      <c r="E119" s="23"/>
      <c r="F119" s="23"/>
      <c r="G119" s="23"/>
      <c r="H119" s="2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3"/>
      <c r="B120" s="24"/>
      <c r="C120" s="23"/>
      <c r="D120" s="23"/>
      <c r="E120" s="23"/>
      <c r="F120" s="23"/>
      <c r="G120" s="23"/>
      <c r="H120" s="2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3"/>
      <c r="B121" s="24"/>
      <c r="C121" s="23"/>
      <c r="D121" s="23"/>
      <c r="E121" s="23"/>
      <c r="F121" s="23"/>
      <c r="G121" s="23"/>
      <c r="H121" s="2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3"/>
      <c r="B122" s="24"/>
      <c r="C122" s="23"/>
      <c r="D122" s="23"/>
      <c r="E122" s="23"/>
      <c r="F122" s="23"/>
      <c r="G122" s="23"/>
      <c r="H122" s="2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3"/>
      <c r="B123" s="24"/>
      <c r="C123" s="23"/>
      <c r="D123" s="23"/>
      <c r="E123" s="23"/>
      <c r="F123" s="23"/>
      <c r="G123" s="23"/>
      <c r="H123" s="2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3"/>
      <c r="B124" s="24"/>
      <c r="C124" s="23"/>
      <c r="D124" s="23"/>
      <c r="E124" s="23"/>
      <c r="F124" s="23"/>
      <c r="G124" s="23"/>
      <c r="H124" s="2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3"/>
      <c r="B125" s="24"/>
      <c r="C125" s="23"/>
      <c r="D125" s="23"/>
      <c r="E125" s="23"/>
      <c r="F125" s="23"/>
      <c r="G125" s="23"/>
      <c r="H125" s="2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3"/>
      <c r="B126" s="24"/>
      <c r="C126" s="23"/>
      <c r="D126" s="23"/>
      <c r="E126" s="23"/>
      <c r="F126" s="23"/>
      <c r="G126" s="23"/>
      <c r="H126" s="2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3"/>
      <c r="B127" s="24"/>
      <c r="C127" s="23"/>
      <c r="D127" s="23"/>
      <c r="E127" s="23"/>
      <c r="F127" s="23"/>
      <c r="G127" s="23"/>
      <c r="H127" s="2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3"/>
      <c r="B128" s="24"/>
      <c r="C128" s="23"/>
      <c r="D128" s="23"/>
      <c r="E128" s="23"/>
      <c r="F128" s="23"/>
      <c r="G128" s="23"/>
      <c r="H128" s="2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3"/>
      <c r="B129" s="24"/>
      <c r="C129" s="23"/>
      <c r="D129" s="23"/>
      <c r="E129" s="23"/>
      <c r="F129" s="23"/>
      <c r="G129" s="23"/>
      <c r="H129" s="2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3"/>
      <c r="B130" s="24"/>
      <c r="C130" s="23"/>
      <c r="D130" s="23"/>
      <c r="E130" s="23"/>
      <c r="F130" s="23"/>
      <c r="G130" s="23"/>
      <c r="H130" s="2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3"/>
      <c r="B131" s="24"/>
      <c r="C131" s="23"/>
      <c r="D131" s="23"/>
      <c r="E131" s="23"/>
      <c r="F131" s="23"/>
      <c r="G131" s="23"/>
      <c r="H131" s="2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3"/>
      <c r="B132" s="24"/>
      <c r="C132" s="23"/>
      <c r="D132" s="23"/>
      <c r="E132" s="23"/>
      <c r="F132" s="23"/>
      <c r="G132" s="23"/>
      <c r="H132" s="2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3"/>
      <c r="B133" s="24"/>
      <c r="C133" s="23"/>
      <c r="D133" s="23"/>
      <c r="E133" s="23"/>
      <c r="F133" s="23"/>
      <c r="G133" s="23"/>
      <c r="H133" s="2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3"/>
      <c r="B134" s="24"/>
      <c r="C134" s="23"/>
      <c r="D134" s="23"/>
      <c r="E134" s="23"/>
      <c r="F134" s="23"/>
      <c r="G134" s="23"/>
      <c r="H134" s="2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3"/>
      <c r="B135" s="24"/>
      <c r="C135" s="23"/>
      <c r="D135" s="23"/>
      <c r="E135" s="23"/>
      <c r="F135" s="23"/>
      <c r="G135" s="23"/>
      <c r="H135" s="2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3"/>
      <c r="B136" s="24"/>
      <c r="C136" s="23"/>
      <c r="D136" s="23"/>
      <c r="E136" s="23"/>
      <c r="F136" s="23"/>
      <c r="G136" s="23"/>
      <c r="H136" s="2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3"/>
      <c r="B137" s="24"/>
      <c r="C137" s="23"/>
      <c r="D137" s="23"/>
      <c r="E137" s="23"/>
      <c r="F137" s="23"/>
      <c r="G137" s="23"/>
      <c r="H137" s="2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3"/>
      <c r="B138" s="24"/>
      <c r="C138" s="23"/>
      <c r="D138" s="23"/>
      <c r="E138" s="23"/>
      <c r="F138" s="23"/>
      <c r="G138" s="23"/>
      <c r="H138" s="2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3"/>
      <c r="B139" s="24"/>
      <c r="C139" s="23"/>
      <c r="D139" s="23"/>
      <c r="E139" s="23"/>
      <c r="F139" s="23"/>
      <c r="G139" s="23"/>
      <c r="H139" s="2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3"/>
      <c r="B140" s="24"/>
      <c r="C140" s="23"/>
      <c r="D140" s="23"/>
      <c r="E140" s="23"/>
      <c r="F140" s="23"/>
      <c r="G140" s="23"/>
      <c r="H140" s="2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3"/>
      <c r="B141" s="24"/>
      <c r="C141" s="23"/>
      <c r="D141" s="23"/>
      <c r="E141" s="23"/>
      <c r="F141" s="23"/>
      <c r="G141" s="23"/>
      <c r="H141" s="25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3"/>
      <c r="B142" s="24"/>
      <c r="C142" s="23"/>
      <c r="D142" s="23"/>
      <c r="E142" s="23"/>
      <c r="F142" s="23"/>
      <c r="G142" s="23"/>
      <c r="H142" s="25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3"/>
      <c r="B143" s="24"/>
      <c r="C143" s="23"/>
      <c r="D143" s="23"/>
      <c r="E143" s="23"/>
      <c r="F143" s="23"/>
      <c r="G143" s="23"/>
      <c r="H143" s="25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3"/>
      <c r="B144" s="24"/>
      <c r="C144" s="23"/>
      <c r="D144" s="23"/>
      <c r="E144" s="23"/>
      <c r="F144" s="23"/>
      <c r="G144" s="23"/>
      <c r="H144" s="25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3"/>
      <c r="B145" s="24"/>
      <c r="C145" s="23"/>
      <c r="D145" s="23"/>
      <c r="E145" s="23"/>
      <c r="F145" s="23"/>
      <c r="G145" s="23"/>
      <c r="H145" s="25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3"/>
      <c r="B146" s="24"/>
      <c r="C146" s="23"/>
      <c r="D146" s="23"/>
      <c r="E146" s="23"/>
      <c r="F146" s="23"/>
      <c r="G146" s="23"/>
      <c r="H146" s="25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3"/>
      <c r="B147" s="24"/>
      <c r="C147" s="23"/>
      <c r="D147" s="23"/>
      <c r="E147" s="23"/>
      <c r="F147" s="23"/>
      <c r="G147" s="23"/>
      <c r="H147" s="25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3"/>
      <c r="B148" s="24"/>
      <c r="C148" s="23"/>
      <c r="D148" s="23"/>
      <c r="E148" s="23"/>
      <c r="F148" s="23"/>
      <c r="G148" s="23"/>
      <c r="H148" s="25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3"/>
      <c r="B149" s="24"/>
      <c r="C149" s="23"/>
      <c r="D149" s="23"/>
      <c r="E149" s="23"/>
      <c r="F149" s="23"/>
      <c r="G149" s="23"/>
      <c r="H149" s="25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3"/>
      <c r="B150" s="24"/>
      <c r="C150" s="23"/>
      <c r="D150" s="23"/>
      <c r="E150" s="23"/>
      <c r="F150" s="23"/>
      <c r="G150" s="23"/>
      <c r="H150" s="25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3"/>
      <c r="B151" s="24"/>
      <c r="C151" s="23"/>
      <c r="D151" s="23"/>
      <c r="E151" s="23"/>
      <c r="F151" s="23"/>
      <c r="G151" s="23"/>
      <c r="H151" s="25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3"/>
      <c r="B152" s="24"/>
      <c r="C152" s="23"/>
      <c r="D152" s="23"/>
      <c r="E152" s="23"/>
      <c r="F152" s="23"/>
      <c r="G152" s="23"/>
      <c r="H152" s="25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3"/>
      <c r="B153" s="24"/>
      <c r="C153" s="23"/>
      <c r="D153" s="23"/>
      <c r="E153" s="23"/>
      <c r="F153" s="23"/>
      <c r="G153" s="23"/>
      <c r="H153" s="25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3"/>
      <c r="B154" s="24"/>
      <c r="C154" s="23"/>
      <c r="D154" s="23"/>
      <c r="E154" s="23"/>
      <c r="F154" s="23"/>
      <c r="G154" s="23"/>
      <c r="H154" s="25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3"/>
      <c r="B155" s="24"/>
      <c r="C155" s="23"/>
      <c r="D155" s="23"/>
      <c r="E155" s="23"/>
      <c r="F155" s="23"/>
      <c r="G155" s="23"/>
      <c r="H155" s="25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3"/>
      <c r="B156" s="24"/>
      <c r="C156" s="23"/>
      <c r="D156" s="23"/>
      <c r="E156" s="23"/>
      <c r="F156" s="23"/>
      <c r="G156" s="23"/>
      <c r="H156" s="25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3"/>
      <c r="B157" s="24"/>
      <c r="C157" s="23"/>
      <c r="D157" s="23"/>
      <c r="E157" s="23"/>
      <c r="F157" s="23"/>
      <c r="G157" s="23"/>
      <c r="H157" s="25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3"/>
      <c r="B158" s="24"/>
      <c r="C158" s="23"/>
      <c r="D158" s="23"/>
      <c r="E158" s="23"/>
      <c r="F158" s="23"/>
      <c r="G158" s="23"/>
      <c r="H158" s="25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3"/>
      <c r="B159" s="24"/>
      <c r="C159" s="23"/>
      <c r="D159" s="23"/>
      <c r="E159" s="23"/>
      <c r="F159" s="23"/>
      <c r="G159" s="23"/>
      <c r="H159" s="25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3"/>
      <c r="B160" s="24"/>
      <c r="C160" s="23"/>
      <c r="D160" s="23"/>
      <c r="E160" s="23"/>
      <c r="F160" s="23"/>
      <c r="G160" s="23"/>
      <c r="H160" s="25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3"/>
      <c r="B161" s="24"/>
      <c r="C161" s="23"/>
      <c r="D161" s="23"/>
      <c r="E161" s="23"/>
      <c r="F161" s="23"/>
      <c r="G161" s="23"/>
      <c r="H161" s="25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3"/>
      <c r="B162" s="24"/>
      <c r="C162" s="23"/>
      <c r="D162" s="23"/>
      <c r="E162" s="23"/>
      <c r="F162" s="23"/>
      <c r="G162" s="23"/>
      <c r="H162" s="25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3"/>
      <c r="B163" s="24"/>
      <c r="C163" s="23"/>
      <c r="D163" s="23"/>
      <c r="E163" s="23"/>
      <c r="F163" s="23"/>
      <c r="G163" s="23"/>
      <c r="H163" s="25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3"/>
      <c r="B164" s="24"/>
      <c r="C164" s="23"/>
      <c r="D164" s="23"/>
      <c r="E164" s="23"/>
      <c r="F164" s="23"/>
      <c r="G164" s="23"/>
      <c r="H164" s="25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3"/>
      <c r="B165" s="24"/>
      <c r="C165" s="23"/>
      <c r="D165" s="23"/>
      <c r="E165" s="23"/>
      <c r="F165" s="23"/>
      <c r="G165" s="23"/>
      <c r="H165" s="25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3"/>
      <c r="B166" s="24"/>
      <c r="C166" s="23"/>
      <c r="D166" s="23"/>
      <c r="E166" s="23"/>
      <c r="F166" s="23"/>
      <c r="G166" s="23"/>
      <c r="H166" s="25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3"/>
      <c r="B167" s="24"/>
      <c r="C167" s="23"/>
      <c r="D167" s="23"/>
      <c r="E167" s="23"/>
      <c r="F167" s="23"/>
      <c r="G167" s="23"/>
      <c r="H167" s="25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3"/>
      <c r="B168" s="24"/>
      <c r="C168" s="23"/>
      <c r="D168" s="23"/>
      <c r="E168" s="23"/>
      <c r="F168" s="23"/>
      <c r="G168" s="23"/>
      <c r="H168" s="25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3"/>
      <c r="B169" s="24"/>
      <c r="C169" s="23"/>
      <c r="D169" s="23"/>
      <c r="E169" s="23"/>
      <c r="F169" s="23"/>
      <c r="G169" s="23"/>
      <c r="H169" s="25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3"/>
      <c r="B170" s="24"/>
      <c r="C170" s="23"/>
      <c r="D170" s="23"/>
      <c r="E170" s="23"/>
      <c r="F170" s="23"/>
      <c r="G170" s="23"/>
      <c r="H170" s="25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3"/>
      <c r="B171" s="24"/>
      <c r="C171" s="23"/>
      <c r="D171" s="23"/>
      <c r="E171" s="23"/>
      <c r="F171" s="23"/>
      <c r="G171" s="23"/>
      <c r="H171" s="25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3"/>
      <c r="B172" s="24"/>
      <c r="C172" s="23"/>
      <c r="D172" s="23"/>
      <c r="E172" s="23"/>
      <c r="F172" s="23"/>
      <c r="G172" s="23"/>
      <c r="H172" s="25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3"/>
      <c r="B173" s="24"/>
      <c r="C173" s="23"/>
      <c r="D173" s="23"/>
      <c r="E173" s="23"/>
      <c r="F173" s="23"/>
      <c r="G173" s="23"/>
      <c r="H173" s="25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3"/>
      <c r="B174" s="24"/>
      <c r="C174" s="23"/>
      <c r="D174" s="23"/>
      <c r="E174" s="23"/>
      <c r="F174" s="23"/>
      <c r="G174" s="23"/>
      <c r="H174" s="25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3"/>
      <c r="B175" s="24"/>
      <c r="C175" s="23"/>
      <c r="D175" s="23"/>
      <c r="E175" s="23"/>
      <c r="F175" s="23"/>
      <c r="G175" s="23"/>
      <c r="H175" s="25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3"/>
      <c r="B176" s="24"/>
      <c r="C176" s="23"/>
      <c r="D176" s="23"/>
      <c r="E176" s="23"/>
      <c r="F176" s="23"/>
      <c r="G176" s="23"/>
      <c r="H176" s="25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3"/>
      <c r="B177" s="24"/>
      <c r="C177" s="23"/>
      <c r="D177" s="23"/>
      <c r="E177" s="23"/>
      <c r="F177" s="23"/>
      <c r="G177" s="23"/>
      <c r="H177" s="25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3"/>
      <c r="B178" s="24"/>
      <c r="C178" s="23"/>
      <c r="D178" s="23"/>
      <c r="E178" s="23"/>
      <c r="F178" s="23"/>
      <c r="G178" s="23"/>
      <c r="H178" s="25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3"/>
      <c r="B179" s="24"/>
      <c r="C179" s="23"/>
      <c r="D179" s="23"/>
      <c r="E179" s="23"/>
      <c r="F179" s="23"/>
      <c r="G179" s="23"/>
      <c r="H179" s="25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3"/>
      <c r="B180" s="24"/>
      <c r="C180" s="23"/>
      <c r="D180" s="23"/>
      <c r="E180" s="23"/>
      <c r="F180" s="23"/>
      <c r="G180" s="23"/>
      <c r="H180" s="25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3"/>
      <c r="B181" s="24"/>
      <c r="C181" s="23"/>
      <c r="D181" s="23"/>
      <c r="E181" s="23"/>
      <c r="F181" s="23"/>
      <c r="G181" s="23"/>
      <c r="H181" s="25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3"/>
      <c r="B182" s="24"/>
      <c r="C182" s="23"/>
      <c r="D182" s="23"/>
      <c r="E182" s="23"/>
      <c r="F182" s="23"/>
      <c r="G182" s="23"/>
      <c r="H182" s="25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3"/>
      <c r="B183" s="24"/>
      <c r="C183" s="23"/>
      <c r="D183" s="23"/>
      <c r="E183" s="23"/>
      <c r="F183" s="23"/>
      <c r="G183" s="23"/>
      <c r="H183" s="25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3"/>
      <c r="B184" s="24"/>
      <c r="C184" s="23"/>
      <c r="D184" s="23"/>
      <c r="E184" s="23"/>
      <c r="F184" s="23"/>
      <c r="G184" s="23"/>
      <c r="H184" s="25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23"/>
      <c r="B185" s="24"/>
      <c r="C185" s="23"/>
      <c r="D185" s="23"/>
      <c r="E185" s="23"/>
      <c r="F185" s="23"/>
      <c r="G185" s="23"/>
      <c r="H185" s="25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23"/>
      <c r="B186" s="24"/>
      <c r="C186" s="23"/>
      <c r="D186" s="23"/>
      <c r="E186" s="23"/>
      <c r="F186" s="23"/>
      <c r="G186" s="23"/>
      <c r="H186" s="2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23"/>
      <c r="B187" s="24"/>
      <c r="C187" s="23"/>
      <c r="D187" s="23"/>
      <c r="E187" s="23"/>
      <c r="F187" s="23"/>
      <c r="G187" s="23"/>
      <c r="H187" s="2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23"/>
      <c r="B188" s="24"/>
      <c r="C188" s="23"/>
      <c r="D188" s="23"/>
      <c r="E188" s="23"/>
      <c r="F188" s="23"/>
      <c r="G188" s="23"/>
      <c r="H188" s="2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23"/>
      <c r="B189" s="24"/>
      <c r="C189" s="23"/>
      <c r="D189" s="23"/>
      <c r="E189" s="23"/>
      <c r="F189" s="23"/>
      <c r="G189" s="23"/>
      <c r="H189" s="2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23"/>
      <c r="B190" s="24"/>
      <c r="C190" s="23"/>
      <c r="D190" s="23"/>
      <c r="E190" s="23"/>
      <c r="F190" s="23"/>
      <c r="G190" s="23"/>
      <c r="H190" s="2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23"/>
      <c r="B191" s="24"/>
      <c r="C191" s="23"/>
      <c r="D191" s="23"/>
      <c r="E191" s="23"/>
      <c r="F191" s="23"/>
      <c r="G191" s="23"/>
      <c r="H191" s="25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23"/>
      <c r="B192" s="24"/>
      <c r="C192" s="23"/>
      <c r="D192" s="23"/>
      <c r="E192" s="23"/>
      <c r="F192" s="23"/>
      <c r="G192" s="23"/>
      <c r="H192" s="25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23"/>
      <c r="B193" s="24"/>
      <c r="C193" s="23"/>
      <c r="D193" s="23"/>
      <c r="E193" s="23"/>
      <c r="F193" s="23"/>
      <c r="G193" s="23"/>
      <c r="H193" s="25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23"/>
      <c r="B194" s="24"/>
      <c r="C194" s="23"/>
      <c r="D194" s="23"/>
      <c r="E194" s="23"/>
      <c r="F194" s="23"/>
      <c r="G194" s="23"/>
      <c r="H194" s="25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23"/>
      <c r="B195" s="24"/>
      <c r="C195" s="23"/>
      <c r="D195" s="23"/>
      <c r="E195" s="23"/>
      <c r="F195" s="23"/>
      <c r="G195" s="23"/>
      <c r="H195" s="25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23"/>
      <c r="B196" s="24"/>
      <c r="C196" s="23"/>
      <c r="D196" s="23"/>
      <c r="E196" s="23"/>
      <c r="F196" s="23"/>
      <c r="G196" s="23"/>
      <c r="H196" s="25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23"/>
      <c r="B197" s="24"/>
      <c r="C197" s="23"/>
      <c r="D197" s="23"/>
      <c r="E197" s="23"/>
      <c r="F197" s="23"/>
      <c r="G197" s="23"/>
      <c r="H197" s="25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23"/>
      <c r="B198" s="24"/>
      <c r="C198" s="23"/>
      <c r="D198" s="23"/>
      <c r="E198" s="23"/>
      <c r="F198" s="23"/>
      <c r="G198" s="23"/>
      <c r="H198" s="25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23"/>
      <c r="B199" s="24"/>
      <c r="C199" s="23"/>
      <c r="D199" s="23"/>
      <c r="E199" s="23"/>
      <c r="F199" s="23"/>
      <c r="G199" s="23"/>
      <c r="H199" s="25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23"/>
      <c r="B200" s="24"/>
      <c r="C200" s="23"/>
      <c r="D200" s="23"/>
      <c r="E200" s="23"/>
      <c r="F200" s="23"/>
      <c r="G200" s="23"/>
      <c r="H200" s="25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23"/>
      <c r="B201" s="24"/>
      <c r="C201" s="23"/>
      <c r="D201" s="23"/>
      <c r="E201" s="23"/>
      <c r="F201" s="23"/>
      <c r="G201" s="23"/>
      <c r="H201" s="25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23"/>
      <c r="B202" s="24"/>
      <c r="C202" s="23"/>
      <c r="D202" s="23"/>
      <c r="E202" s="23"/>
      <c r="F202" s="23"/>
      <c r="G202" s="23"/>
      <c r="H202" s="25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23"/>
      <c r="B203" s="24"/>
      <c r="C203" s="23"/>
      <c r="D203" s="23"/>
      <c r="E203" s="23"/>
      <c r="F203" s="23"/>
      <c r="G203" s="23"/>
      <c r="H203" s="25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23"/>
      <c r="B204" s="24"/>
      <c r="C204" s="23"/>
      <c r="D204" s="23"/>
      <c r="E204" s="23"/>
      <c r="F204" s="23"/>
      <c r="G204" s="23"/>
      <c r="H204" s="25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23"/>
      <c r="B205" s="24"/>
      <c r="C205" s="23"/>
      <c r="D205" s="23"/>
      <c r="E205" s="23"/>
      <c r="F205" s="23"/>
      <c r="G205" s="23"/>
      <c r="H205" s="25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23"/>
      <c r="B206" s="24"/>
      <c r="C206" s="23"/>
      <c r="D206" s="23"/>
      <c r="E206" s="23"/>
      <c r="F206" s="23"/>
      <c r="G206" s="23"/>
      <c r="H206" s="25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23"/>
      <c r="B207" s="24"/>
      <c r="C207" s="23"/>
      <c r="D207" s="23"/>
      <c r="E207" s="23"/>
      <c r="F207" s="23"/>
      <c r="G207" s="23"/>
      <c r="H207" s="25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23"/>
      <c r="B208" s="24"/>
      <c r="C208" s="23"/>
      <c r="D208" s="23"/>
      <c r="E208" s="23"/>
      <c r="F208" s="23"/>
      <c r="G208" s="23"/>
      <c r="H208" s="25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23"/>
      <c r="B209" s="24"/>
      <c r="C209" s="23"/>
      <c r="D209" s="23"/>
      <c r="E209" s="23"/>
      <c r="F209" s="23"/>
      <c r="G209" s="23"/>
      <c r="H209" s="25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23"/>
      <c r="B210" s="24"/>
      <c r="C210" s="23"/>
      <c r="D210" s="23"/>
      <c r="E210" s="23"/>
      <c r="F210" s="23"/>
      <c r="G210" s="23"/>
      <c r="H210" s="25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23"/>
      <c r="B211" s="24"/>
      <c r="C211" s="23"/>
      <c r="D211" s="23"/>
      <c r="E211" s="23"/>
      <c r="F211" s="23"/>
      <c r="G211" s="23"/>
      <c r="H211" s="25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23"/>
      <c r="B212" s="24"/>
      <c r="C212" s="23"/>
      <c r="D212" s="23"/>
      <c r="E212" s="23"/>
      <c r="F212" s="23"/>
      <c r="G212" s="23"/>
      <c r="H212" s="25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23"/>
      <c r="B213" s="24"/>
      <c r="C213" s="23"/>
      <c r="D213" s="23"/>
      <c r="E213" s="23"/>
      <c r="F213" s="23"/>
      <c r="G213" s="23"/>
      <c r="H213" s="25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23"/>
      <c r="B214" s="24"/>
      <c r="C214" s="23"/>
      <c r="D214" s="23"/>
      <c r="E214" s="23"/>
      <c r="F214" s="23"/>
      <c r="G214" s="23"/>
      <c r="H214" s="25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23"/>
      <c r="B215" s="24"/>
      <c r="C215" s="23"/>
      <c r="D215" s="23"/>
      <c r="E215" s="23"/>
      <c r="F215" s="23"/>
      <c r="G215" s="23"/>
      <c r="H215" s="25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23"/>
      <c r="B216" s="24"/>
      <c r="C216" s="23"/>
      <c r="D216" s="23"/>
      <c r="E216" s="23"/>
      <c r="F216" s="23"/>
      <c r="G216" s="23"/>
      <c r="H216" s="25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23"/>
      <c r="B217" s="24"/>
      <c r="C217" s="23"/>
      <c r="D217" s="23"/>
      <c r="E217" s="23"/>
      <c r="F217" s="23"/>
      <c r="G217" s="23"/>
      <c r="H217" s="25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23"/>
      <c r="B218" s="24"/>
      <c r="C218" s="23"/>
      <c r="D218" s="23"/>
      <c r="E218" s="23"/>
      <c r="F218" s="23"/>
      <c r="G218" s="23"/>
      <c r="H218" s="25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23"/>
      <c r="B219" s="24"/>
      <c r="C219" s="23"/>
      <c r="D219" s="23"/>
      <c r="E219" s="23"/>
      <c r="F219" s="23"/>
      <c r="G219" s="23"/>
      <c r="H219" s="25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23"/>
      <c r="B220" s="24"/>
      <c r="C220" s="23"/>
      <c r="D220" s="23"/>
      <c r="E220" s="23"/>
      <c r="F220" s="23"/>
      <c r="G220" s="23"/>
      <c r="H220" s="25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2:J2" xr:uid="{00000000-0009-0000-0000-000001000000}"/>
  <mergeCells count="2">
    <mergeCell ref="A1:J1"/>
    <mergeCell ref="H3:H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A3" sqref="A3:G20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8.425781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26" t="s">
        <v>1</v>
      </c>
      <c r="B2" s="27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8" t="s">
        <v>10</v>
      </c>
      <c r="I2" s="3" t="s">
        <v>5</v>
      </c>
      <c r="J2" s="29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6"/>
      <c r="Y2" s="16"/>
      <c r="Z2" s="16"/>
    </row>
    <row r="3" spans="1:26" ht="15.75" customHeight="1">
      <c r="A3" s="20">
        <v>1</v>
      </c>
      <c r="B3" s="21" t="s">
        <v>68</v>
      </c>
      <c r="C3" s="20" t="s">
        <v>69</v>
      </c>
      <c r="D3" s="20" t="s">
        <v>70</v>
      </c>
      <c r="E3" s="20" t="s">
        <v>19</v>
      </c>
      <c r="F3" s="20" t="s">
        <v>71</v>
      </c>
      <c r="G3" s="20" t="s">
        <v>72</v>
      </c>
      <c r="H3" s="54" t="s">
        <v>45</v>
      </c>
      <c r="I3" s="8" t="s">
        <v>19</v>
      </c>
      <c r="J3" s="30">
        <f>3/18</f>
        <v>0.16666666666666666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0">
        <v>2</v>
      </c>
      <c r="B4" s="21" t="s">
        <v>73</v>
      </c>
      <c r="C4" s="20" t="s">
        <v>69</v>
      </c>
      <c r="D4" s="20" t="s">
        <v>70</v>
      </c>
      <c r="E4" s="20" t="s">
        <v>15</v>
      </c>
      <c r="F4" s="20" t="s">
        <v>71</v>
      </c>
      <c r="G4" s="20" t="s">
        <v>72</v>
      </c>
      <c r="H4" s="55"/>
      <c r="I4" s="8" t="s">
        <v>15</v>
      </c>
      <c r="J4" s="30">
        <f>7/18</f>
        <v>0.3888888888888889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0">
        <v>3</v>
      </c>
      <c r="B5" s="21" t="s">
        <v>74</v>
      </c>
      <c r="C5" s="20" t="s">
        <v>69</v>
      </c>
      <c r="D5" s="20" t="s">
        <v>70</v>
      </c>
      <c r="E5" s="20" t="s">
        <v>23</v>
      </c>
      <c r="F5" s="20" t="s">
        <v>71</v>
      </c>
      <c r="G5" s="20" t="s">
        <v>72</v>
      </c>
      <c r="H5" s="55"/>
      <c r="I5" s="8" t="s">
        <v>23</v>
      </c>
      <c r="J5" s="30">
        <f>8/18</f>
        <v>0.44444444444444442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0">
        <v>4</v>
      </c>
      <c r="B6" s="21" t="s">
        <v>75</v>
      </c>
      <c r="C6" s="20" t="s">
        <v>76</v>
      </c>
      <c r="D6" s="20" t="s">
        <v>70</v>
      </c>
      <c r="E6" s="20" t="s">
        <v>15</v>
      </c>
      <c r="F6" s="20" t="s">
        <v>71</v>
      </c>
      <c r="G6" s="20" t="s">
        <v>72</v>
      </c>
      <c r="H6" s="5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20">
        <v>5</v>
      </c>
      <c r="B7" s="21" t="s">
        <v>77</v>
      </c>
      <c r="C7" s="20" t="s">
        <v>78</v>
      </c>
      <c r="D7" s="20" t="s">
        <v>70</v>
      </c>
      <c r="E7" s="20" t="s">
        <v>15</v>
      </c>
      <c r="F7" s="20" t="s">
        <v>71</v>
      </c>
      <c r="G7" s="20" t="s">
        <v>72</v>
      </c>
      <c r="H7" s="5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0">
        <v>6</v>
      </c>
      <c r="B8" s="21" t="s">
        <v>73</v>
      </c>
      <c r="C8" s="20" t="s">
        <v>78</v>
      </c>
      <c r="D8" s="20" t="s">
        <v>35</v>
      </c>
      <c r="E8" s="20" t="s">
        <v>23</v>
      </c>
      <c r="F8" s="20" t="s">
        <v>71</v>
      </c>
      <c r="G8" s="20" t="s">
        <v>72</v>
      </c>
      <c r="H8" s="5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>
        <v>7</v>
      </c>
      <c r="B9" s="21" t="s">
        <v>79</v>
      </c>
      <c r="C9" s="20" t="s">
        <v>78</v>
      </c>
      <c r="D9" s="20" t="s">
        <v>35</v>
      </c>
      <c r="E9" s="20" t="s">
        <v>23</v>
      </c>
      <c r="F9" s="20" t="s">
        <v>71</v>
      </c>
      <c r="G9" s="20" t="s">
        <v>72</v>
      </c>
      <c r="H9" s="5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">
        <v>8</v>
      </c>
      <c r="B10" s="21" t="s">
        <v>80</v>
      </c>
      <c r="C10" s="20" t="s">
        <v>78</v>
      </c>
      <c r="D10" s="20" t="s">
        <v>35</v>
      </c>
      <c r="E10" s="20" t="s">
        <v>15</v>
      </c>
      <c r="F10" s="20" t="s">
        <v>71</v>
      </c>
      <c r="G10" s="20" t="s">
        <v>72</v>
      </c>
      <c r="H10" s="5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>
        <v>9</v>
      </c>
      <c r="B11" s="21" t="s">
        <v>81</v>
      </c>
      <c r="C11" s="20" t="s">
        <v>82</v>
      </c>
      <c r="D11" s="20" t="s">
        <v>35</v>
      </c>
      <c r="E11" s="20" t="s">
        <v>15</v>
      </c>
      <c r="F11" s="20" t="s">
        <v>71</v>
      </c>
      <c r="G11" s="20" t="s">
        <v>72</v>
      </c>
      <c r="H11" s="5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>
        <v>10</v>
      </c>
      <c r="B12" s="21" t="s">
        <v>83</v>
      </c>
      <c r="C12" s="20" t="s">
        <v>82</v>
      </c>
      <c r="D12" s="20" t="s">
        <v>35</v>
      </c>
      <c r="E12" s="20" t="s">
        <v>23</v>
      </c>
      <c r="F12" s="20" t="s">
        <v>71</v>
      </c>
      <c r="G12" s="20" t="s">
        <v>72</v>
      </c>
      <c r="H12" s="5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0">
        <v>11</v>
      </c>
      <c r="B13" s="21" t="s">
        <v>84</v>
      </c>
      <c r="C13" s="20" t="s">
        <v>82</v>
      </c>
      <c r="D13" s="20" t="s">
        <v>35</v>
      </c>
      <c r="E13" s="20" t="s">
        <v>15</v>
      </c>
      <c r="F13" s="20" t="s">
        <v>71</v>
      </c>
      <c r="G13" s="20" t="s">
        <v>72</v>
      </c>
      <c r="H13" s="5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0">
        <v>12</v>
      </c>
      <c r="B14" s="21" t="s">
        <v>85</v>
      </c>
      <c r="C14" s="20" t="s">
        <v>86</v>
      </c>
      <c r="D14" s="20" t="s">
        <v>35</v>
      </c>
      <c r="E14" s="20" t="s">
        <v>23</v>
      </c>
      <c r="F14" s="20" t="s">
        <v>71</v>
      </c>
      <c r="G14" s="20" t="s">
        <v>72</v>
      </c>
      <c r="H14" s="5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0">
        <v>13</v>
      </c>
      <c r="B15" s="21" t="s">
        <v>87</v>
      </c>
      <c r="C15" s="20" t="s">
        <v>69</v>
      </c>
      <c r="D15" s="20" t="s">
        <v>26</v>
      </c>
      <c r="E15" s="20" t="s">
        <v>15</v>
      </c>
      <c r="F15" s="20" t="s">
        <v>71</v>
      </c>
      <c r="G15" s="20" t="s">
        <v>72</v>
      </c>
      <c r="H15" s="5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0">
        <v>14</v>
      </c>
      <c r="B16" s="21" t="s">
        <v>88</v>
      </c>
      <c r="C16" s="20" t="s">
        <v>89</v>
      </c>
      <c r="D16" s="20" t="s">
        <v>70</v>
      </c>
      <c r="E16" s="20" t="s">
        <v>23</v>
      </c>
      <c r="F16" s="20" t="s">
        <v>71</v>
      </c>
      <c r="G16" s="20" t="s">
        <v>72</v>
      </c>
      <c r="H16" s="5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0">
        <v>15</v>
      </c>
      <c r="B17" s="21" t="s">
        <v>90</v>
      </c>
      <c r="C17" s="20" t="s">
        <v>89</v>
      </c>
      <c r="D17" s="20" t="s">
        <v>70</v>
      </c>
      <c r="E17" s="20" t="s">
        <v>23</v>
      </c>
      <c r="F17" s="20" t="s">
        <v>71</v>
      </c>
      <c r="G17" s="20" t="s">
        <v>72</v>
      </c>
      <c r="H17" s="5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0">
        <v>16</v>
      </c>
      <c r="B18" s="21" t="s">
        <v>91</v>
      </c>
      <c r="C18" s="20" t="s">
        <v>92</v>
      </c>
      <c r="D18" s="20" t="s">
        <v>35</v>
      </c>
      <c r="E18" s="20" t="s">
        <v>23</v>
      </c>
      <c r="F18" s="20" t="s">
        <v>71</v>
      </c>
      <c r="G18" s="20" t="s">
        <v>72</v>
      </c>
      <c r="H18" s="5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0">
        <v>17</v>
      </c>
      <c r="B19" s="21" t="s">
        <v>93</v>
      </c>
      <c r="C19" s="20" t="s">
        <v>94</v>
      </c>
      <c r="D19" s="20" t="s">
        <v>14</v>
      </c>
      <c r="E19" s="20" t="s">
        <v>19</v>
      </c>
      <c r="F19" s="20" t="s">
        <v>71</v>
      </c>
      <c r="G19" s="20" t="s">
        <v>72</v>
      </c>
      <c r="H19" s="5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0">
        <v>18</v>
      </c>
      <c r="B20" s="21" t="s">
        <v>95</v>
      </c>
      <c r="C20" s="20" t="s">
        <v>96</v>
      </c>
      <c r="D20" s="20" t="s">
        <v>14</v>
      </c>
      <c r="E20" s="20" t="s">
        <v>19</v>
      </c>
      <c r="F20" s="20" t="s">
        <v>71</v>
      </c>
      <c r="G20" s="20" t="s">
        <v>72</v>
      </c>
      <c r="H20" s="5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3"/>
      <c r="B21" s="24"/>
      <c r="C21" s="23"/>
      <c r="D21" s="23"/>
      <c r="E21" s="23"/>
      <c r="F21" s="23"/>
      <c r="G21" s="23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3"/>
      <c r="B22" s="24"/>
      <c r="C22" s="23"/>
      <c r="D22" s="23"/>
      <c r="E22" s="23"/>
      <c r="F22" s="23"/>
      <c r="G22" s="23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3"/>
      <c r="B23" s="24"/>
      <c r="C23" s="23"/>
      <c r="D23" s="23"/>
      <c r="E23" s="23"/>
      <c r="F23" s="23"/>
      <c r="G23" s="23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3"/>
      <c r="B24" s="24"/>
      <c r="C24" s="23"/>
      <c r="D24" s="23"/>
      <c r="E24" s="23"/>
      <c r="F24" s="23"/>
      <c r="G24" s="23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3"/>
      <c r="B25" s="24"/>
      <c r="C25" s="23"/>
      <c r="D25" s="23"/>
      <c r="E25" s="23"/>
      <c r="F25" s="23"/>
      <c r="G25" s="23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3"/>
      <c r="B26" s="24"/>
      <c r="C26" s="23"/>
      <c r="D26" s="23"/>
      <c r="E26" s="23"/>
      <c r="F26" s="23"/>
      <c r="G26" s="23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3"/>
      <c r="B27" s="24"/>
      <c r="C27" s="23"/>
      <c r="D27" s="23"/>
      <c r="E27" s="23"/>
      <c r="F27" s="23"/>
      <c r="G27" s="23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3"/>
      <c r="B28" s="24"/>
      <c r="C28" s="23"/>
      <c r="D28" s="23"/>
      <c r="E28" s="23"/>
      <c r="F28" s="23"/>
      <c r="G28" s="23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3"/>
      <c r="B29" s="24"/>
      <c r="C29" s="23"/>
      <c r="D29" s="23"/>
      <c r="E29" s="23"/>
      <c r="F29" s="23"/>
      <c r="G29" s="23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3"/>
      <c r="B30" s="24"/>
      <c r="C30" s="23"/>
      <c r="D30" s="23"/>
      <c r="E30" s="23"/>
      <c r="F30" s="23"/>
      <c r="G30" s="23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3"/>
      <c r="B31" s="24"/>
      <c r="C31" s="23"/>
      <c r="D31" s="23"/>
      <c r="E31" s="23"/>
      <c r="F31" s="23"/>
      <c r="G31" s="23"/>
      <c r="H31" s="2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3"/>
      <c r="B32" s="24"/>
      <c r="C32" s="23"/>
      <c r="D32" s="23"/>
      <c r="E32" s="23"/>
      <c r="F32" s="23"/>
      <c r="G32" s="23"/>
      <c r="H32" s="2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3"/>
      <c r="B33" s="24"/>
      <c r="C33" s="23"/>
      <c r="D33" s="23"/>
      <c r="E33" s="23"/>
      <c r="F33" s="23"/>
      <c r="G33" s="23"/>
      <c r="H33" s="2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3"/>
      <c r="B34" s="24"/>
      <c r="C34" s="23"/>
      <c r="D34" s="23"/>
      <c r="E34" s="23"/>
      <c r="F34" s="23"/>
      <c r="G34" s="23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3"/>
      <c r="B35" s="24"/>
      <c r="C35" s="23"/>
      <c r="D35" s="23"/>
      <c r="E35" s="23"/>
      <c r="F35" s="23"/>
      <c r="G35" s="23"/>
      <c r="H35" s="2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3"/>
      <c r="B36" s="24"/>
      <c r="C36" s="23"/>
      <c r="D36" s="23"/>
      <c r="E36" s="23"/>
      <c r="F36" s="23"/>
      <c r="G36" s="23"/>
      <c r="H36" s="2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3"/>
      <c r="B37" s="24"/>
      <c r="C37" s="23"/>
      <c r="D37" s="23"/>
      <c r="E37" s="23"/>
      <c r="F37" s="23"/>
      <c r="G37" s="23"/>
      <c r="H37" s="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3"/>
      <c r="B38" s="24"/>
      <c r="C38" s="23"/>
      <c r="D38" s="23"/>
      <c r="E38" s="23"/>
      <c r="F38" s="23"/>
      <c r="G38" s="23"/>
      <c r="H38" s="2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3"/>
      <c r="B39" s="24"/>
      <c r="C39" s="23"/>
      <c r="D39" s="23"/>
      <c r="E39" s="23"/>
      <c r="F39" s="23"/>
      <c r="G39" s="23"/>
      <c r="H39" s="2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3"/>
      <c r="B40" s="24"/>
      <c r="C40" s="23"/>
      <c r="D40" s="23"/>
      <c r="E40" s="23"/>
      <c r="F40" s="23"/>
      <c r="G40" s="23"/>
      <c r="H40" s="2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3"/>
      <c r="B41" s="24"/>
      <c r="C41" s="23"/>
      <c r="D41" s="23"/>
      <c r="E41" s="23"/>
      <c r="F41" s="23"/>
      <c r="G41" s="23"/>
      <c r="H41" s="2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3"/>
      <c r="B42" s="24"/>
      <c r="C42" s="23"/>
      <c r="D42" s="23"/>
      <c r="E42" s="23"/>
      <c r="F42" s="23"/>
      <c r="G42" s="23"/>
      <c r="H42" s="2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3"/>
      <c r="B43" s="24"/>
      <c r="C43" s="23"/>
      <c r="D43" s="23"/>
      <c r="E43" s="23"/>
      <c r="F43" s="23"/>
      <c r="G43" s="23"/>
      <c r="H43" s="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3"/>
      <c r="B44" s="24"/>
      <c r="C44" s="23"/>
      <c r="D44" s="23"/>
      <c r="E44" s="23"/>
      <c r="F44" s="23"/>
      <c r="G44" s="23"/>
      <c r="H44" s="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3"/>
      <c r="B45" s="24"/>
      <c r="C45" s="23"/>
      <c r="D45" s="23"/>
      <c r="E45" s="23"/>
      <c r="F45" s="23"/>
      <c r="G45" s="23"/>
      <c r="H45" s="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3"/>
      <c r="B46" s="24"/>
      <c r="C46" s="23"/>
      <c r="D46" s="23"/>
      <c r="E46" s="23"/>
      <c r="F46" s="23"/>
      <c r="G46" s="23"/>
      <c r="H46" s="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3"/>
      <c r="B47" s="24"/>
      <c r="C47" s="23"/>
      <c r="D47" s="23"/>
      <c r="E47" s="23"/>
      <c r="F47" s="23"/>
      <c r="G47" s="23"/>
      <c r="H47" s="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3"/>
      <c r="B48" s="24"/>
      <c r="C48" s="23"/>
      <c r="D48" s="23"/>
      <c r="E48" s="23"/>
      <c r="F48" s="23"/>
      <c r="G48" s="23"/>
      <c r="H48" s="2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3"/>
      <c r="B49" s="24"/>
      <c r="C49" s="23"/>
      <c r="D49" s="23"/>
      <c r="E49" s="23"/>
      <c r="F49" s="23"/>
      <c r="G49" s="23"/>
      <c r="H49" s="2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3"/>
      <c r="B50" s="24"/>
      <c r="C50" s="23"/>
      <c r="D50" s="23"/>
      <c r="E50" s="23"/>
      <c r="F50" s="23"/>
      <c r="G50" s="23"/>
      <c r="H50" s="2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3"/>
      <c r="B51" s="24"/>
      <c r="C51" s="23"/>
      <c r="D51" s="23"/>
      <c r="E51" s="23"/>
      <c r="F51" s="23"/>
      <c r="G51" s="23"/>
      <c r="H51" s="2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3"/>
      <c r="B52" s="24"/>
      <c r="C52" s="23"/>
      <c r="D52" s="23"/>
      <c r="E52" s="23"/>
      <c r="F52" s="23"/>
      <c r="G52" s="23"/>
      <c r="H52" s="2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3"/>
      <c r="B53" s="24"/>
      <c r="C53" s="23"/>
      <c r="D53" s="23"/>
      <c r="E53" s="23"/>
      <c r="F53" s="23"/>
      <c r="G53" s="23"/>
      <c r="H53" s="2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3"/>
      <c r="B54" s="24"/>
      <c r="C54" s="23"/>
      <c r="D54" s="23"/>
      <c r="E54" s="23"/>
      <c r="F54" s="23"/>
      <c r="G54" s="23"/>
      <c r="H54" s="2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3"/>
      <c r="B55" s="24"/>
      <c r="C55" s="23"/>
      <c r="D55" s="23"/>
      <c r="E55" s="23"/>
      <c r="F55" s="23"/>
      <c r="G55" s="23"/>
      <c r="H55" s="25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3"/>
      <c r="B56" s="24"/>
      <c r="C56" s="23"/>
      <c r="D56" s="23"/>
      <c r="E56" s="23"/>
      <c r="F56" s="23"/>
      <c r="G56" s="23"/>
      <c r="H56" s="25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3"/>
      <c r="B57" s="24"/>
      <c r="C57" s="23"/>
      <c r="D57" s="23"/>
      <c r="E57" s="23"/>
      <c r="F57" s="23"/>
      <c r="G57" s="23"/>
      <c r="H57" s="25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3"/>
      <c r="B58" s="24"/>
      <c r="C58" s="23"/>
      <c r="D58" s="23"/>
      <c r="E58" s="23"/>
      <c r="F58" s="23"/>
      <c r="G58" s="23"/>
      <c r="H58" s="2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3"/>
      <c r="B59" s="24"/>
      <c r="C59" s="23"/>
      <c r="D59" s="23"/>
      <c r="E59" s="23"/>
      <c r="F59" s="23"/>
      <c r="G59" s="23"/>
      <c r="H59" s="2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3"/>
      <c r="B60" s="24"/>
      <c r="C60" s="23"/>
      <c r="D60" s="23"/>
      <c r="E60" s="23"/>
      <c r="F60" s="23"/>
      <c r="G60" s="23"/>
      <c r="H60" s="2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3"/>
      <c r="B61" s="24"/>
      <c r="C61" s="23"/>
      <c r="D61" s="23"/>
      <c r="E61" s="23"/>
      <c r="F61" s="23"/>
      <c r="G61" s="23"/>
      <c r="H61" s="2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3"/>
      <c r="B62" s="24"/>
      <c r="C62" s="23"/>
      <c r="D62" s="23"/>
      <c r="E62" s="23"/>
      <c r="F62" s="23"/>
      <c r="G62" s="23"/>
      <c r="H62" s="25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3"/>
      <c r="B63" s="24"/>
      <c r="C63" s="23"/>
      <c r="D63" s="23"/>
      <c r="E63" s="23"/>
      <c r="F63" s="23"/>
      <c r="G63" s="23"/>
      <c r="H63" s="25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3"/>
      <c r="B64" s="24"/>
      <c r="C64" s="23"/>
      <c r="D64" s="23"/>
      <c r="E64" s="23"/>
      <c r="F64" s="23"/>
      <c r="G64" s="23"/>
      <c r="H64" s="25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3"/>
      <c r="B65" s="24"/>
      <c r="C65" s="23"/>
      <c r="D65" s="23"/>
      <c r="E65" s="23"/>
      <c r="F65" s="23"/>
      <c r="G65" s="23"/>
      <c r="H65" s="2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3"/>
      <c r="B66" s="24"/>
      <c r="C66" s="23"/>
      <c r="D66" s="23"/>
      <c r="E66" s="23"/>
      <c r="F66" s="23"/>
      <c r="G66" s="23"/>
      <c r="H66" s="25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3"/>
      <c r="B67" s="24"/>
      <c r="C67" s="23"/>
      <c r="D67" s="23"/>
      <c r="E67" s="23"/>
      <c r="F67" s="23"/>
      <c r="G67" s="23"/>
      <c r="H67" s="25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3"/>
      <c r="B68" s="24"/>
      <c r="C68" s="23"/>
      <c r="D68" s="23"/>
      <c r="E68" s="23"/>
      <c r="F68" s="23"/>
      <c r="G68" s="23"/>
      <c r="H68" s="2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3"/>
      <c r="B69" s="24"/>
      <c r="C69" s="23"/>
      <c r="D69" s="23"/>
      <c r="E69" s="23"/>
      <c r="F69" s="23"/>
      <c r="G69" s="23"/>
      <c r="H69" s="2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3"/>
      <c r="B70" s="24"/>
      <c r="C70" s="23"/>
      <c r="D70" s="23"/>
      <c r="E70" s="23"/>
      <c r="F70" s="23"/>
      <c r="G70" s="23"/>
      <c r="H70" s="2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3"/>
      <c r="B71" s="24"/>
      <c r="C71" s="23"/>
      <c r="D71" s="23"/>
      <c r="E71" s="23"/>
      <c r="F71" s="23"/>
      <c r="G71" s="23"/>
      <c r="H71" s="2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3"/>
      <c r="B72" s="24"/>
      <c r="C72" s="23"/>
      <c r="D72" s="23"/>
      <c r="E72" s="23"/>
      <c r="F72" s="23"/>
      <c r="G72" s="23"/>
      <c r="H72" s="2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3"/>
      <c r="B73" s="24"/>
      <c r="C73" s="23"/>
      <c r="D73" s="23"/>
      <c r="E73" s="23"/>
      <c r="F73" s="23"/>
      <c r="G73" s="23"/>
      <c r="H73" s="2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3"/>
      <c r="B74" s="24"/>
      <c r="C74" s="23"/>
      <c r="D74" s="23"/>
      <c r="E74" s="23"/>
      <c r="F74" s="23"/>
      <c r="G74" s="23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3"/>
      <c r="B75" s="24"/>
      <c r="C75" s="23"/>
      <c r="D75" s="23"/>
      <c r="E75" s="23"/>
      <c r="F75" s="23"/>
      <c r="G75" s="23"/>
      <c r="H75" s="2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3"/>
      <c r="B76" s="24"/>
      <c r="C76" s="23"/>
      <c r="D76" s="23"/>
      <c r="E76" s="23"/>
      <c r="F76" s="23"/>
      <c r="G76" s="23"/>
      <c r="H76" s="2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3"/>
      <c r="B77" s="24"/>
      <c r="C77" s="23"/>
      <c r="D77" s="23"/>
      <c r="E77" s="23"/>
      <c r="F77" s="23"/>
      <c r="G77" s="23"/>
      <c r="H77" s="2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3"/>
      <c r="B78" s="24"/>
      <c r="C78" s="23"/>
      <c r="D78" s="23"/>
      <c r="E78" s="23"/>
      <c r="F78" s="23"/>
      <c r="G78" s="23"/>
      <c r="H78" s="2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3"/>
      <c r="B79" s="24"/>
      <c r="C79" s="23"/>
      <c r="D79" s="23"/>
      <c r="E79" s="23"/>
      <c r="F79" s="23"/>
      <c r="G79" s="23"/>
      <c r="H79" s="2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3"/>
      <c r="B80" s="24"/>
      <c r="C80" s="23"/>
      <c r="D80" s="23"/>
      <c r="E80" s="23"/>
      <c r="F80" s="23"/>
      <c r="G80" s="23"/>
      <c r="H80" s="2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3"/>
      <c r="B81" s="24"/>
      <c r="C81" s="23"/>
      <c r="D81" s="23"/>
      <c r="E81" s="23"/>
      <c r="F81" s="23"/>
      <c r="G81" s="23"/>
      <c r="H81" s="2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3"/>
      <c r="B82" s="24"/>
      <c r="C82" s="23"/>
      <c r="D82" s="23"/>
      <c r="E82" s="23"/>
      <c r="F82" s="23"/>
      <c r="G82" s="23"/>
      <c r="H82" s="2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3"/>
      <c r="B83" s="24"/>
      <c r="C83" s="23"/>
      <c r="D83" s="23"/>
      <c r="E83" s="23"/>
      <c r="F83" s="23"/>
      <c r="G83" s="23"/>
      <c r="H83" s="2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3"/>
      <c r="B84" s="24"/>
      <c r="C84" s="23"/>
      <c r="D84" s="23"/>
      <c r="E84" s="23"/>
      <c r="F84" s="23"/>
      <c r="G84" s="23"/>
      <c r="H84" s="2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3"/>
      <c r="B85" s="24"/>
      <c r="C85" s="23"/>
      <c r="D85" s="23"/>
      <c r="E85" s="23"/>
      <c r="F85" s="23"/>
      <c r="G85" s="23"/>
      <c r="H85" s="2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3"/>
      <c r="B86" s="24"/>
      <c r="C86" s="23"/>
      <c r="D86" s="23"/>
      <c r="E86" s="23"/>
      <c r="F86" s="23"/>
      <c r="G86" s="23"/>
      <c r="H86" s="2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3"/>
      <c r="B87" s="24"/>
      <c r="C87" s="23"/>
      <c r="D87" s="23"/>
      <c r="E87" s="23"/>
      <c r="F87" s="23"/>
      <c r="G87" s="23"/>
      <c r="H87" s="2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3"/>
      <c r="B88" s="24"/>
      <c r="C88" s="23"/>
      <c r="D88" s="23"/>
      <c r="E88" s="23"/>
      <c r="F88" s="23"/>
      <c r="G88" s="23"/>
      <c r="H88" s="2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3"/>
      <c r="B89" s="24"/>
      <c r="C89" s="23"/>
      <c r="D89" s="23"/>
      <c r="E89" s="23"/>
      <c r="F89" s="23"/>
      <c r="G89" s="23"/>
      <c r="H89" s="2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3"/>
      <c r="B90" s="24"/>
      <c r="C90" s="23"/>
      <c r="D90" s="23"/>
      <c r="E90" s="23"/>
      <c r="F90" s="23"/>
      <c r="G90" s="23"/>
      <c r="H90" s="2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3"/>
      <c r="B91" s="24"/>
      <c r="C91" s="23"/>
      <c r="D91" s="23"/>
      <c r="E91" s="23"/>
      <c r="F91" s="23"/>
      <c r="G91" s="23"/>
      <c r="H91" s="2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3"/>
      <c r="B92" s="24"/>
      <c r="C92" s="23"/>
      <c r="D92" s="23"/>
      <c r="E92" s="23"/>
      <c r="F92" s="23"/>
      <c r="G92" s="23"/>
      <c r="H92" s="2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3"/>
      <c r="B93" s="24"/>
      <c r="C93" s="23"/>
      <c r="D93" s="23"/>
      <c r="E93" s="23"/>
      <c r="F93" s="23"/>
      <c r="G93" s="23"/>
      <c r="H93" s="2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3"/>
      <c r="B94" s="24"/>
      <c r="C94" s="23"/>
      <c r="D94" s="23"/>
      <c r="E94" s="23"/>
      <c r="F94" s="23"/>
      <c r="G94" s="23"/>
      <c r="H94" s="2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3"/>
      <c r="B95" s="24"/>
      <c r="C95" s="23"/>
      <c r="D95" s="23"/>
      <c r="E95" s="23"/>
      <c r="F95" s="23"/>
      <c r="G95" s="23"/>
      <c r="H95" s="2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3"/>
      <c r="B96" s="24"/>
      <c r="C96" s="23"/>
      <c r="D96" s="23"/>
      <c r="E96" s="23"/>
      <c r="F96" s="23"/>
      <c r="G96" s="23"/>
      <c r="H96" s="2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3"/>
      <c r="B97" s="24"/>
      <c r="C97" s="23"/>
      <c r="D97" s="23"/>
      <c r="E97" s="23"/>
      <c r="F97" s="23"/>
      <c r="G97" s="23"/>
      <c r="H97" s="2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3"/>
      <c r="B98" s="24"/>
      <c r="C98" s="23"/>
      <c r="D98" s="23"/>
      <c r="E98" s="23"/>
      <c r="F98" s="23"/>
      <c r="G98" s="23"/>
      <c r="H98" s="2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3"/>
      <c r="B99" s="24"/>
      <c r="C99" s="23"/>
      <c r="D99" s="23"/>
      <c r="E99" s="23"/>
      <c r="F99" s="23"/>
      <c r="G99" s="23"/>
      <c r="H99" s="2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3"/>
      <c r="B100" s="24"/>
      <c r="C100" s="23"/>
      <c r="D100" s="23"/>
      <c r="E100" s="23"/>
      <c r="F100" s="23"/>
      <c r="G100" s="23"/>
      <c r="H100" s="2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3"/>
      <c r="B101" s="24"/>
      <c r="C101" s="23"/>
      <c r="D101" s="23"/>
      <c r="E101" s="23"/>
      <c r="F101" s="23"/>
      <c r="G101" s="23"/>
      <c r="H101" s="2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3"/>
      <c r="B102" s="24"/>
      <c r="C102" s="23"/>
      <c r="D102" s="23"/>
      <c r="E102" s="23"/>
      <c r="F102" s="23"/>
      <c r="G102" s="23"/>
      <c r="H102" s="2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3"/>
      <c r="B103" s="24"/>
      <c r="C103" s="23"/>
      <c r="D103" s="23"/>
      <c r="E103" s="23"/>
      <c r="F103" s="23"/>
      <c r="G103" s="23"/>
      <c r="H103" s="2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3"/>
      <c r="B104" s="24"/>
      <c r="C104" s="23"/>
      <c r="D104" s="23"/>
      <c r="E104" s="23"/>
      <c r="F104" s="23"/>
      <c r="G104" s="23"/>
      <c r="H104" s="2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3"/>
      <c r="B105" s="24"/>
      <c r="C105" s="23"/>
      <c r="D105" s="23"/>
      <c r="E105" s="23"/>
      <c r="F105" s="23"/>
      <c r="G105" s="23"/>
      <c r="H105" s="2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3"/>
      <c r="B106" s="24"/>
      <c r="C106" s="23"/>
      <c r="D106" s="23"/>
      <c r="E106" s="23"/>
      <c r="F106" s="23"/>
      <c r="G106" s="23"/>
      <c r="H106" s="2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3"/>
      <c r="B107" s="24"/>
      <c r="C107" s="23"/>
      <c r="D107" s="23"/>
      <c r="E107" s="23"/>
      <c r="F107" s="23"/>
      <c r="G107" s="23"/>
      <c r="H107" s="2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3"/>
      <c r="B108" s="24"/>
      <c r="C108" s="23"/>
      <c r="D108" s="23"/>
      <c r="E108" s="23"/>
      <c r="F108" s="23"/>
      <c r="G108" s="23"/>
      <c r="H108" s="2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3"/>
      <c r="B109" s="24"/>
      <c r="C109" s="23"/>
      <c r="D109" s="23"/>
      <c r="E109" s="23"/>
      <c r="F109" s="23"/>
      <c r="G109" s="23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3"/>
      <c r="B110" s="24"/>
      <c r="C110" s="23"/>
      <c r="D110" s="23"/>
      <c r="E110" s="23"/>
      <c r="F110" s="23"/>
      <c r="G110" s="23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3"/>
      <c r="B111" s="24"/>
      <c r="C111" s="23"/>
      <c r="D111" s="23"/>
      <c r="E111" s="23"/>
      <c r="F111" s="23"/>
      <c r="G111" s="23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3"/>
      <c r="B112" s="24"/>
      <c r="C112" s="23"/>
      <c r="D112" s="23"/>
      <c r="E112" s="23"/>
      <c r="F112" s="23"/>
      <c r="G112" s="23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3"/>
      <c r="B113" s="24"/>
      <c r="C113" s="23"/>
      <c r="D113" s="23"/>
      <c r="E113" s="23"/>
      <c r="F113" s="23"/>
      <c r="G113" s="23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3"/>
      <c r="B114" s="24"/>
      <c r="C114" s="23"/>
      <c r="D114" s="23"/>
      <c r="E114" s="23"/>
      <c r="F114" s="23"/>
      <c r="G114" s="23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3"/>
      <c r="B115" s="24"/>
      <c r="C115" s="23"/>
      <c r="D115" s="23"/>
      <c r="E115" s="23"/>
      <c r="F115" s="23"/>
      <c r="G115" s="23"/>
      <c r="H115" s="2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3"/>
      <c r="B116" s="24"/>
      <c r="C116" s="23"/>
      <c r="D116" s="23"/>
      <c r="E116" s="23"/>
      <c r="F116" s="23"/>
      <c r="G116" s="23"/>
      <c r="H116" s="2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3"/>
      <c r="B117" s="24"/>
      <c r="C117" s="23"/>
      <c r="D117" s="23"/>
      <c r="E117" s="23"/>
      <c r="F117" s="23"/>
      <c r="G117" s="23"/>
      <c r="H117" s="2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3"/>
      <c r="B118" s="24"/>
      <c r="C118" s="23"/>
      <c r="D118" s="23"/>
      <c r="E118" s="23"/>
      <c r="F118" s="23"/>
      <c r="G118" s="23"/>
      <c r="H118" s="2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3"/>
      <c r="B119" s="24"/>
      <c r="C119" s="23"/>
      <c r="D119" s="23"/>
      <c r="E119" s="23"/>
      <c r="F119" s="23"/>
      <c r="G119" s="23"/>
      <c r="H119" s="2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3"/>
      <c r="B120" s="24"/>
      <c r="C120" s="23"/>
      <c r="D120" s="23"/>
      <c r="E120" s="23"/>
      <c r="F120" s="23"/>
      <c r="G120" s="23"/>
      <c r="H120" s="2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3"/>
      <c r="B121" s="24"/>
      <c r="C121" s="23"/>
      <c r="D121" s="23"/>
      <c r="E121" s="23"/>
      <c r="F121" s="23"/>
      <c r="G121" s="23"/>
      <c r="H121" s="2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3"/>
      <c r="B122" s="24"/>
      <c r="C122" s="23"/>
      <c r="D122" s="23"/>
      <c r="E122" s="23"/>
      <c r="F122" s="23"/>
      <c r="G122" s="23"/>
      <c r="H122" s="2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3"/>
      <c r="B123" s="24"/>
      <c r="C123" s="23"/>
      <c r="D123" s="23"/>
      <c r="E123" s="23"/>
      <c r="F123" s="23"/>
      <c r="G123" s="23"/>
      <c r="H123" s="2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3"/>
      <c r="B124" s="24"/>
      <c r="C124" s="23"/>
      <c r="D124" s="23"/>
      <c r="E124" s="23"/>
      <c r="F124" s="23"/>
      <c r="G124" s="23"/>
      <c r="H124" s="2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3"/>
      <c r="B125" s="24"/>
      <c r="C125" s="23"/>
      <c r="D125" s="23"/>
      <c r="E125" s="23"/>
      <c r="F125" s="23"/>
      <c r="G125" s="23"/>
      <c r="H125" s="2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3"/>
      <c r="B126" s="24"/>
      <c r="C126" s="23"/>
      <c r="D126" s="23"/>
      <c r="E126" s="23"/>
      <c r="F126" s="23"/>
      <c r="G126" s="23"/>
      <c r="H126" s="2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3"/>
      <c r="B127" s="24"/>
      <c r="C127" s="23"/>
      <c r="D127" s="23"/>
      <c r="E127" s="23"/>
      <c r="F127" s="23"/>
      <c r="G127" s="23"/>
      <c r="H127" s="2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3"/>
      <c r="B128" s="24"/>
      <c r="C128" s="23"/>
      <c r="D128" s="23"/>
      <c r="E128" s="23"/>
      <c r="F128" s="23"/>
      <c r="G128" s="23"/>
      <c r="H128" s="2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3"/>
      <c r="B129" s="24"/>
      <c r="C129" s="23"/>
      <c r="D129" s="23"/>
      <c r="E129" s="23"/>
      <c r="F129" s="23"/>
      <c r="G129" s="23"/>
      <c r="H129" s="2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3"/>
      <c r="B130" s="24"/>
      <c r="C130" s="23"/>
      <c r="D130" s="23"/>
      <c r="E130" s="23"/>
      <c r="F130" s="23"/>
      <c r="G130" s="23"/>
      <c r="H130" s="2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3"/>
      <c r="B131" s="24"/>
      <c r="C131" s="23"/>
      <c r="D131" s="23"/>
      <c r="E131" s="23"/>
      <c r="F131" s="23"/>
      <c r="G131" s="23"/>
      <c r="H131" s="2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3"/>
      <c r="B132" s="24"/>
      <c r="C132" s="23"/>
      <c r="D132" s="23"/>
      <c r="E132" s="23"/>
      <c r="F132" s="23"/>
      <c r="G132" s="23"/>
      <c r="H132" s="2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3"/>
      <c r="B133" s="24"/>
      <c r="C133" s="23"/>
      <c r="D133" s="23"/>
      <c r="E133" s="23"/>
      <c r="F133" s="23"/>
      <c r="G133" s="23"/>
      <c r="H133" s="2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3"/>
      <c r="B134" s="24"/>
      <c r="C134" s="23"/>
      <c r="D134" s="23"/>
      <c r="E134" s="23"/>
      <c r="F134" s="23"/>
      <c r="G134" s="23"/>
      <c r="H134" s="2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3"/>
      <c r="B135" s="24"/>
      <c r="C135" s="23"/>
      <c r="D135" s="23"/>
      <c r="E135" s="23"/>
      <c r="F135" s="23"/>
      <c r="G135" s="23"/>
      <c r="H135" s="2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3"/>
      <c r="B136" s="24"/>
      <c r="C136" s="23"/>
      <c r="D136" s="23"/>
      <c r="E136" s="23"/>
      <c r="F136" s="23"/>
      <c r="G136" s="23"/>
      <c r="H136" s="2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3"/>
      <c r="B137" s="24"/>
      <c r="C137" s="23"/>
      <c r="D137" s="23"/>
      <c r="E137" s="23"/>
      <c r="F137" s="23"/>
      <c r="G137" s="23"/>
      <c r="H137" s="2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3"/>
      <c r="B138" s="24"/>
      <c r="C138" s="23"/>
      <c r="D138" s="23"/>
      <c r="E138" s="23"/>
      <c r="F138" s="23"/>
      <c r="G138" s="23"/>
      <c r="H138" s="2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3"/>
      <c r="B139" s="24"/>
      <c r="C139" s="23"/>
      <c r="D139" s="23"/>
      <c r="E139" s="23"/>
      <c r="F139" s="23"/>
      <c r="G139" s="23"/>
      <c r="H139" s="2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3"/>
      <c r="B140" s="24"/>
      <c r="C140" s="23"/>
      <c r="D140" s="23"/>
      <c r="E140" s="23"/>
      <c r="F140" s="23"/>
      <c r="G140" s="23"/>
      <c r="H140" s="2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3"/>
      <c r="B141" s="24"/>
      <c r="C141" s="23"/>
      <c r="D141" s="23"/>
      <c r="E141" s="23"/>
      <c r="F141" s="23"/>
      <c r="G141" s="23"/>
      <c r="H141" s="25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3"/>
      <c r="B142" s="24"/>
      <c r="C142" s="23"/>
      <c r="D142" s="23"/>
      <c r="E142" s="23"/>
      <c r="F142" s="23"/>
      <c r="G142" s="23"/>
      <c r="H142" s="25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3"/>
      <c r="B143" s="24"/>
      <c r="C143" s="23"/>
      <c r="D143" s="23"/>
      <c r="E143" s="23"/>
      <c r="F143" s="23"/>
      <c r="G143" s="23"/>
      <c r="H143" s="25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3"/>
      <c r="B144" s="24"/>
      <c r="C144" s="23"/>
      <c r="D144" s="23"/>
      <c r="E144" s="23"/>
      <c r="F144" s="23"/>
      <c r="G144" s="23"/>
      <c r="H144" s="25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3"/>
      <c r="B145" s="24"/>
      <c r="C145" s="23"/>
      <c r="D145" s="23"/>
      <c r="E145" s="23"/>
      <c r="F145" s="23"/>
      <c r="G145" s="23"/>
      <c r="H145" s="25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3"/>
      <c r="B146" s="24"/>
      <c r="C146" s="23"/>
      <c r="D146" s="23"/>
      <c r="E146" s="23"/>
      <c r="F146" s="23"/>
      <c r="G146" s="23"/>
      <c r="H146" s="25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3"/>
      <c r="B147" s="24"/>
      <c r="C147" s="23"/>
      <c r="D147" s="23"/>
      <c r="E147" s="23"/>
      <c r="F147" s="23"/>
      <c r="G147" s="23"/>
      <c r="H147" s="25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3"/>
      <c r="B148" s="24"/>
      <c r="C148" s="23"/>
      <c r="D148" s="23"/>
      <c r="E148" s="23"/>
      <c r="F148" s="23"/>
      <c r="G148" s="23"/>
      <c r="H148" s="25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3"/>
      <c r="B149" s="24"/>
      <c r="C149" s="23"/>
      <c r="D149" s="23"/>
      <c r="E149" s="23"/>
      <c r="F149" s="23"/>
      <c r="G149" s="23"/>
      <c r="H149" s="25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3"/>
      <c r="B150" s="24"/>
      <c r="C150" s="23"/>
      <c r="D150" s="23"/>
      <c r="E150" s="23"/>
      <c r="F150" s="23"/>
      <c r="G150" s="23"/>
      <c r="H150" s="25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3"/>
      <c r="B151" s="24"/>
      <c r="C151" s="23"/>
      <c r="D151" s="23"/>
      <c r="E151" s="23"/>
      <c r="F151" s="23"/>
      <c r="G151" s="23"/>
      <c r="H151" s="25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3"/>
      <c r="B152" s="24"/>
      <c r="C152" s="23"/>
      <c r="D152" s="23"/>
      <c r="E152" s="23"/>
      <c r="F152" s="23"/>
      <c r="G152" s="23"/>
      <c r="H152" s="25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3"/>
      <c r="B153" s="24"/>
      <c r="C153" s="23"/>
      <c r="D153" s="23"/>
      <c r="E153" s="23"/>
      <c r="F153" s="23"/>
      <c r="G153" s="23"/>
      <c r="H153" s="25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3"/>
      <c r="B154" s="24"/>
      <c r="C154" s="23"/>
      <c r="D154" s="23"/>
      <c r="E154" s="23"/>
      <c r="F154" s="23"/>
      <c r="G154" s="23"/>
      <c r="H154" s="25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3"/>
      <c r="B155" s="24"/>
      <c r="C155" s="23"/>
      <c r="D155" s="23"/>
      <c r="E155" s="23"/>
      <c r="F155" s="23"/>
      <c r="G155" s="23"/>
      <c r="H155" s="25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3"/>
      <c r="B156" s="24"/>
      <c r="C156" s="23"/>
      <c r="D156" s="23"/>
      <c r="E156" s="23"/>
      <c r="F156" s="23"/>
      <c r="G156" s="23"/>
      <c r="H156" s="25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3"/>
      <c r="B157" s="24"/>
      <c r="C157" s="23"/>
      <c r="D157" s="23"/>
      <c r="E157" s="23"/>
      <c r="F157" s="23"/>
      <c r="G157" s="23"/>
      <c r="H157" s="25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3"/>
      <c r="B158" s="24"/>
      <c r="C158" s="23"/>
      <c r="D158" s="23"/>
      <c r="E158" s="23"/>
      <c r="F158" s="23"/>
      <c r="G158" s="23"/>
      <c r="H158" s="25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3"/>
      <c r="B159" s="24"/>
      <c r="C159" s="23"/>
      <c r="D159" s="23"/>
      <c r="E159" s="23"/>
      <c r="F159" s="23"/>
      <c r="G159" s="23"/>
      <c r="H159" s="25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3"/>
      <c r="B160" s="24"/>
      <c r="C160" s="23"/>
      <c r="D160" s="23"/>
      <c r="E160" s="23"/>
      <c r="F160" s="23"/>
      <c r="G160" s="23"/>
      <c r="H160" s="25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3"/>
      <c r="B161" s="24"/>
      <c r="C161" s="23"/>
      <c r="D161" s="23"/>
      <c r="E161" s="23"/>
      <c r="F161" s="23"/>
      <c r="G161" s="23"/>
      <c r="H161" s="25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3"/>
      <c r="B162" s="24"/>
      <c r="C162" s="23"/>
      <c r="D162" s="23"/>
      <c r="E162" s="23"/>
      <c r="F162" s="23"/>
      <c r="G162" s="23"/>
      <c r="H162" s="25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3"/>
      <c r="B163" s="24"/>
      <c r="C163" s="23"/>
      <c r="D163" s="23"/>
      <c r="E163" s="23"/>
      <c r="F163" s="23"/>
      <c r="G163" s="23"/>
      <c r="H163" s="25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3"/>
      <c r="B164" s="24"/>
      <c r="C164" s="23"/>
      <c r="D164" s="23"/>
      <c r="E164" s="23"/>
      <c r="F164" s="23"/>
      <c r="G164" s="23"/>
      <c r="H164" s="25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3"/>
      <c r="B165" s="24"/>
      <c r="C165" s="23"/>
      <c r="D165" s="23"/>
      <c r="E165" s="23"/>
      <c r="F165" s="23"/>
      <c r="G165" s="23"/>
      <c r="H165" s="25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3"/>
      <c r="B166" s="24"/>
      <c r="C166" s="23"/>
      <c r="D166" s="23"/>
      <c r="E166" s="23"/>
      <c r="F166" s="23"/>
      <c r="G166" s="23"/>
      <c r="H166" s="25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3"/>
      <c r="B167" s="24"/>
      <c r="C167" s="23"/>
      <c r="D167" s="23"/>
      <c r="E167" s="23"/>
      <c r="F167" s="23"/>
      <c r="G167" s="23"/>
      <c r="H167" s="25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3"/>
      <c r="B168" s="24"/>
      <c r="C168" s="23"/>
      <c r="D168" s="23"/>
      <c r="E168" s="23"/>
      <c r="F168" s="23"/>
      <c r="G168" s="23"/>
      <c r="H168" s="25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3"/>
      <c r="B169" s="24"/>
      <c r="C169" s="23"/>
      <c r="D169" s="23"/>
      <c r="E169" s="23"/>
      <c r="F169" s="23"/>
      <c r="G169" s="23"/>
      <c r="H169" s="25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3"/>
      <c r="B170" s="24"/>
      <c r="C170" s="23"/>
      <c r="D170" s="23"/>
      <c r="E170" s="23"/>
      <c r="F170" s="23"/>
      <c r="G170" s="23"/>
      <c r="H170" s="25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3"/>
      <c r="B171" s="24"/>
      <c r="C171" s="23"/>
      <c r="D171" s="23"/>
      <c r="E171" s="23"/>
      <c r="F171" s="23"/>
      <c r="G171" s="23"/>
      <c r="H171" s="25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3"/>
      <c r="B172" s="24"/>
      <c r="C172" s="23"/>
      <c r="D172" s="23"/>
      <c r="E172" s="23"/>
      <c r="F172" s="23"/>
      <c r="G172" s="23"/>
      <c r="H172" s="25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3"/>
      <c r="B173" s="24"/>
      <c r="C173" s="23"/>
      <c r="D173" s="23"/>
      <c r="E173" s="23"/>
      <c r="F173" s="23"/>
      <c r="G173" s="23"/>
      <c r="H173" s="25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3"/>
      <c r="B174" s="24"/>
      <c r="C174" s="23"/>
      <c r="D174" s="23"/>
      <c r="E174" s="23"/>
      <c r="F174" s="23"/>
      <c r="G174" s="23"/>
      <c r="H174" s="25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3"/>
      <c r="B175" s="24"/>
      <c r="C175" s="23"/>
      <c r="D175" s="23"/>
      <c r="E175" s="23"/>
      <c r="F175" s="23"/>
      <c r="G175" s="23"/>
      <c r="H175" s="25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3"/>
      <c r="B176" s="24"/>
      <c r="C176" s="23"/>
      <c r="D176" s="23"/>
      <c r="E176" s="23"/>
      <c r="F176" s="23"/>
      <c r="G176" s="23"/>
      <c r="H176" s="25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3"/>
      <c r="B177" s="24"/>
      <c r="C177" s="23"/>
      <c r="D177" s="23"/>
      <c r="E177" s="23"/>
      <c r="F177" s="23"/>
      <c r="G177" s="23"/>
      <c r="H177" s="25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3"/>
      <c r="B178" s="24"/>
      <c r="C178" s="23"/>
      <c r="D178" s="23"/>
      <c r="E178" s="23"/>
      <c r="F178" s="23"/>
      <c r="G178" s="23"/>
      <c r="H178" s="25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3"/>
      <c r="B179" s="24"/>
      <c r="C179" s="23"/>
      <c r="D179" s="23"/>
      <c r="E179" s="23"/>
      <c r="F179" s="23"/>
      <c r="G179" s="23"/>
      <c r="H179" s="25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3"/>
      <c r="B180" s="24"/>
      <c r="C180" s="23"/>
      <c r="D180" s="23"/>
      <c r="E180" s="23"/>
      <c r="F180" s="23"/>
      <c r="G180" s="23"/>
      <c r="H180" s="25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3"/>
      <c r="B181" s="24"/>
      <c r="C181" s="23"/>
      <c r="D181" s="23"/>
      <c r="E181" s="23"/>
      <c r="F181" s="23"/>
      <c r="G181" s="23"/>
      <c r="H181" s="25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3"/>
      <c r="B182" s="24"/>
      <c r="C182" s="23"/>
      <c r="D182" s="23"/>
      <c r="E182" s="23"/>
      <c r="F182" s="23"/>
      <c r="G182" s="23"/>
      <c r="H182" s="25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3"/>
      <c r="B183" s="24"/>
      <c r="C183" s="23"/>
      <c r="D183" s="23"/>
      <c r="E183" s="23"/>
      <c r="F183" s="23"/>
      <c r="G183" s="23"/>
      <c r="H183" s="25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3"/>
      <c r="B184" s="24"/>
      <c r="C184" s="23"/>
      <c r="D184" s="23"/>
      <c r="E184" s="23"/>
      <c r="F184" s="23"/>
      <c r="G184" s="23"/>
      <c r="H184" s="25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23"/>
      <c r="B185" s="24"/>
      <c r="C185" s="23"/>
      <c r="D185" s="23"/>
      <c r="E185" s="23"/>
      <c r="F185" s="23"/>
      <c r="G185" s="23"/>
      <c r="H185" s="25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23"/>
      <c r="B186" s="24"/>
      <c r="C186" s="23"/>
      <c r="D186" s="23"/>
      <c r="E186" s="23"/>
      <c r="F186" s="23"/>
      <c r="G186" s="23"/>
      <c r="H186" s="2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23"/>
      <c r="B187" s="24"/>
      <c r="C187" s="23"/>
      <c r="D187" s="23"/>
      <c r="E187" s="23"/>
      <c r="F187" s="23"/>
      <c r="G187" s="23"/>
      <c r="H187" s="2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23"/>
      <c r="B188" s="24"/>
      <c r="C188" s="23"/>
      <c r="D188" s="23"/>
      <c r="E188" s="23"/>
      <c r="F188" s="23"/>
      <c r="G188" s="23"/>
      <c r="H188" s="2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23"/>
      <c r="B189" s="24"/>
      <c r="C189" s="23"/>
      <c r="D189" s="23"/>
      <c r="E189" s="23"/>
      <c r="F189" s="23"/>
      <c r="G189" s="23"/>
      <c r="H189" s="2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23"/>
      <c r="B190" s="24"/>
      <c r="C190" s="23"/>
      <c r="D190" s="23"/>
      <c r="E190" s="23"/>
      <c r="F190" s="23"/>
      <c r="G190" s="23"/>
      <c r="H190" s="2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23"/>
      <c r="B191" s="24"/>
      <c r="C191" s="23"/>
      <c r="D191" s="23"/>
      <c r="E191" s="23"/>
      <c r="F191" s="23"/>
      <c r="G191" s="23"/>
      <c r="H191" s="25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23"/>
      <c r="B192" s="24"/>
      <c r="C192" s="23"/>
      <c r="D192" s="23"/>
      <c r="E192" s="23"/>
      <c r="F192" s="23"/>
      <c r="G192" s="23"/>
      <c r="H192" s="25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23"/>
      <c r="B193" s="24"/>
      <c r="C193" s="23"/>
      <c r="D193" s="23"/>
      <c r="E193" s="23"/>
      <c r="F193" s="23"/>
      <c r="G193" s="23"/>
      <c r="H193" s="25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23"/>
      <c r="B194" s="24"/>
      <c r="C194" s="23"/>
      <c r="D194" s="23"/>
      <c r="E194" s="23"/>
      <c r="F194" s="23"/>
      <c r="G194" s="23"/>
      <c r="H194" s="25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23"/>
      <c r="B195" s="24"/>
      <c r="C195" s="23"/>
      <c r="D195" s="23"/>
      <c r="E195" s="23"/>
      <c r="F195" s="23"/>
      <c r="G195" s="23"/>
      <c r="H195" s="25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23"/>
      <c r="B196" s="24"/>
      <c r="C196" s="23"/>
      <c r="D196" s="23"/>
      <c r="E196" s="23"/>
      <c r="F196" s="23"/>
      <c r="G196" s="23"/>
      <c r="H196" s="25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23"/>
      <c r="B197" s="24"/>
      <c r="C197" s="23"/>
      <c r="D197" s="23"/>
      <c r="E197" s="23"/>
      <c r="F197" s="23"/>
      <c r="G197" s="23"/>
      <c r="H197" s="25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23"/>
      <c r="B198" s="24"/>
      <c r="C198" s="23"/>
      <c r="D198" s="23"/>
      <c r="E198" s="23"/>
      <c r="F198" s="23"/>
      <c r="G198" s="23"/>
      <c r="H198" s="25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23"/>
      <c r="B199" s="24"/>
      <c r="C199" s="23"/>
      <c r="D199" s="23"/>
      <c r="E199" s="23"/>
      <c r="F199" s="23"/>
      <c r="G199" s="23"/>
      <c r="H199" s="25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23"/>
      <c r="B200" s="24"/>
      <c r="C200" s="23"/>
      <c r="D200" s="23"/>
      <c r="E200" s="23"/>
      <c r="F200" s="23"/>
      <c r="G200" s="23"/>
      <c r="H200" s="25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23"/>
      <c r="B201" s="24"/>
      <c r="C201" s="23"/>
      <c r="D201" s="23"/>
      <c r="E201" s="23"/>
      <c r="F201" s="23"/>
      <c r="G201" s="23"/>
      <c r="H201" s="25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23"/>
      <c r="B202" s="24"/>
      <c r="C202" s="23"/>
      <c r="D202" s="23"/>
      <c r="E202" s="23"/>
      <c r="F202" s="23"/>
      <c r="G202" s="23"/>
      <c r="H202" s="25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23"/>
      <c r="B203" s="24"/>
      <c r="C203" s="23"/>
      <c r="D203" s="23"/>
      <c r="E203" s="23"/>
      <c r="F203" s="23"/>
      <c r="G203" s="23"/>
      <c r="H203" s="25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23"/>
      <c r="B204" s="24"/>
      <c r="C204" s="23"/>
      <c r="D204" s="23"/>
      <c r="E204" s="23"/>
      <c r="F204" s="23"/>
      <c r="G204" s="23"/>
      <c r="H204" s="25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23"/>
      <c r="B205" s="24"/>
      <c r="C205" s="23"/>
      <c r="D205" s="23"/>
      <c r="E205" s="23"/>
      <c r="F205" s="23"/>
      <c r="G205" s="23"/>
      <c r="H205" s="25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23"/>
      <c r="B206" s="24"/>
      <c r="C206" s="23"/>
      <c r="D206" s="23"/>
      <c r="E206" s="23"/>
      <c r="F206" s="23"/>
      <c r="G206" s="23"/>
      <c r="H206" s="25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23"/>
      <c r="B207" s="24"/>
      <c r="C207" s="23"/>
      <c r="D207" s="23"/>
      <c r="E207" s="23"/>
      <c r="F207" s="23"/>
      <c r="G207" s="23"/>
      <c r="H207" s="25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23"/>
      <c r="B208" s="24"/>
      <c r="C208" s="23"/>
      <c r="D208" s="23"/>
      <c r="E208" s="23"/>
      <c r="F208" s="23"/>
      <c r="G208" s="23"/>
      <c r="H208" s="25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23"/>
      <c r="B209" s="24"/>
      <c r="C209" s="23"/>
      <c r="D209" s="23"/>
      <c r="E209" s="23"/>
      <c r="F209" s="23"/>
      <c r="G209" s="23"/>
      <c r="H209" s="25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23"/>
      <c r="B210" s="24"/>
      <c r="C210" s="23"/>
      <c r="D210" s="23"/>
      <c r="E210" s="23"/>
      <c r="F210" s="23"/>
      <c r="G210" s="23"/>
      <c r="H210" s="25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23"/>
      <c r="B211" s="24"/>
      <c r="C211" s="23"/>
      <c r="D211" s="23"/>
      <c r="E211" s="23"/>
      <c r="F211" s="23"/>
      <c r="G211" s="23"/>
      <c r="H211" s="25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23"/>
      <c r="B212" s="24"/>
      <c r="C212" s="23"/>
      <c r="D212" s="23"/>
      <c r="E212" s="23"/>
      <c r="F212" s="23"/>
      <c r="G212" s="23"/>
      <c r="H212" s="25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23"/>
      <c r="B213" s="24"/>
      <c r="C213" s="23"/>
      <c r="D213" s="23"/>
      <c r="E213" s="23"/>
      <c r="F213" s="23"/>
      <c r="G213" s="23"/>
      <c r="H213" s="25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23"/>
      <c r="B214" s="24"/>
      <c r="C214" s="23"/>
      <c r="D214" s="23"/>
      <c r="E214" s="23"/>
      <c r="F214" s="23"/>
      <c r="G214" s="23"/>
      <c r="H214" s="25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23"/>
      <c r="B215" s="24"/>
      <c r="C215" s="23"/>
      <c r="D215" s="23"/>
      <c r="E215" s="23"/>
      <c r="F215" s="23"/>
      <c r="G215" s="23"/>
      <c r="H215" s="25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23"/>
      <c r="B216" s="24"/>
      <c r="C216" s="23"/>
      <c r="D216" s="23"/>
      <c r="E216" s="23"/>
      <c r="F216" s="23"/>
      <c r="G216" s="23"/>
      <c r="H216" s="25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23"/>
      <c r="B217" s="24"/>
      <c r="C217" s="23"/>
      <c r="D217" s="23"/>
      <c r="E217" s="23"/>
      <c r="F217" s="23"/>
      <c r="G217" s="23"/>
      <c r="H217" s="25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23"/>
      <c r="B218" s="24"/>
      <c r="C218" s="23"/>
      <c r="D218" s="23"/>
      <c r="E218" s="23"/>
      <c r="F218" s="23"/>
      <c r="G218" s="23"/>
      <c r="H218" s="25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23"/>
      <c r="B219" s="24"/>
      <c r="C219" s="23"/>
      <c r="D219" s="23"/>
      <c r="E219" s="23"/>
      <c r="F219" s="23"/>
      <c r="G219" s="23"/>
      <c r="H219" s="25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23"/>
      <c r="B220" s="24"/>
      <c r="C220" s="23"/>
      <c r="D220" s="23"/>
      <c r="E220" s="23"/>
      <c r="F220" s="23"/>
      <c r="G220" s="23"/>
      <c r="H220" s="25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2:J20" xr:uid="{00000000-0009-0000-0000-000002000000}"/>
  <mergeCells count="2">
    <mergeCell ref="A1:J1"/>
    <mergeCell ref="H3:H2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A3" sqref="A3:G12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26" t="s">
        <v>1</v>
      </c>
      <c r="B2" s="27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31" t="s">
        <v>10</v>
      </c>
      <c r="I2" s="3" t="s">
        <v>5</v>
      </c>
      <c r="J2" s="29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6"/>
      <c r="Y2" s="16"/>
      <c r="Z2" s="16"/>
    </row>
    <row r="3" spans="1:26" ht="15.75" customHeight="1">
      <c r="A3" s="20">
        <v>1</v>
      </c>
      <c r="B3" s="21" t="s">
        <v>97</v>
      </c>
      <c r="C3" s="20" t="s">
        <v>98</v>
      </c>
      <c r="D3" s="20" t="s">
        <v>26</v>
      </c>
      <c r="E3" s="20" t="s">
        <v>19</v>
      </c>
      <c r="F3" s="20" t="s">
        <v>99</v>
      </c>
      <c r="G3" s="20" t="s">
        <v>98</v>
      </c>
      <c r="H3" s="54" t="s">
        <v>45</v>
      </c>
      <c r="I3" s="8" t="s">
        <v>19</v>
      </c>
      <c r="J3" s="30">
        <f>6/10</f>
        <v>0.6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0">
        <v>2</v>
      </c>
      <c r="B4" s="21" t="s">
        <v>100</v>
      </c>
      <c r="C4" s="20" t="s">
        <v>98</v>
      </c>
      <c r="D4" s="20" t="s">
        <v>26</v>
      </c>
      <c r="E4" s="20" t="s">
        <v>19</v>
      </c>
      <c r="F4" s="20" t="s">
        <v>99</v>
      </c>
      <c r="G4" s="20" t="s">
        <v>98</v>
      </c>
      <c r="H4" s="55"/>
      <c r="I4" s="8" t="s">
        <v>15</v>
      </c>
      <c r="J4" s="30">
        <f>3/10</f>
        <v>0.3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0">
        <v>3</v>
      </c>
      <c r="B5" s="21" t="s">
        <v>101</v>
      </c>
      <c r="C5" s="20" t="s">
        <v>98</v>
      </c>
      <c r="D5" s="20" t="s">
        <v>14</v>
      </c>
      <c r="E5" s="20" t="s">
        <v>19</v>
      </c>
      <c r="F5" s="20" t="s">
        <v>99</v>
      </c>
      <c r="G5" s="20" t="s">
        <v>98</v>
      </c>
      <c r="H5" s="55"/>
      <c r="I5" s="8" t="s">
        <v>23</v>
      </c>
      <c r="J5" s="30">
        <f>1/10</f>
        <v>0.1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0">
        <v>4</v>
      </c>
      <c r="B6" s="21" t="s">
        <v>102</v>
      </c>
      <c r="C6" s="20" t="s">
        <v>98</v>
      </c>
      <c r="D6" s="20" t="s">
        <v>14</v>
      </c>
      <c r="E6" s="20" t="s">
        <v>15</v>
      </c>
      <c r="F6" s="20" t="s">
        <v>99</v>
      </c>
      <c r="G6" s="20" t="s">
        <v>98</v>
      </c>
      <c r="H6" s="5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20">
        <v>5</v>
      </c>
      <c r="B7" s="21" t="s">
        <v>103</v>
      </c>
      <c r="C7" s="20" t="s">
        <v>98</v>
      </c>
      <c r="D7" s="20" t="s">
        <v>14</v>
      </c>
      <c r="E7" s="20" t="s">
        <v>19</v>
      </c>
      <c r="F7" s="20" t="s">
        <v>99</v>
      </c>
      <c r="G7" s="20" t="s">
        <v>98</v>
      </c>
      <c r="H7" s="5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0">
        <v>6</v>
      </c>
      <c r="B8" s="21" t="s">
        <v>104</v>
      </c>
      <c r="C8" s="20" t="s">
        <v>98</v>
      </c>
      <c r="D8" s="20" t="s">
        <v>14</v>
      </c>
      <c r="E8" s="20" t="s">
        <v>15</v>
      </c>
      <c r="F8" s="20" t="s">
        <v>99</v>
      </c>
      <c r="G8" s="20" t="s">
        <v>98</v>
      </c>
      <c r="H8" s="5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>
        <v>7</v>
      </c>
      <c r="B9" s="21" t="s">
        <v>105</v>
      </c>
      <c r="C9" s="20" t="s">
        <v>98</v>
      </c>
      <c r="D9" s="20" t="s">
        <v>14</v>
      </c>
      <c r="E9" s="20" t="s">
        <v>19</v>
      </c>
      <c r="F9" s="20" t="s">
        <v>99</v>
      </c>
      <c r="G9" s="20" t="s">
        <v>98</v>
      </c>
      <c r="H9" s="5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">
        <v>8</v>
      </c>
      <c r="B10" s="21" t="s">
        <v>106</v>
      </c>
      <c r="C10" s="20" t="s">
        <v>107</v>
      </c>
      <c r="D10" s="20" t="s">
        <v>26</v>
      </c>
      <c r="E10" s="20" t="s">
        <v>19</v>
      </c>
      <c r="F10" s="20" t="s">
        <v>99</v>
      </c>
      <c r="G10" s="20" t="s">
        <v>98</v>
      </c>
      <c r="H10" s="5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>
        <v>9</v>
      </c>
      <c r="B11" s="21" t="s">
        <v>108</v>
      </c>
      <c r="C11" s="20" t="s">
        <v>109</v>
      </c>
      <c r="D11" s="20" t="s">
        <v>26</v>
      </c>
      <c r="E11" s="20" t="s">
        <v>15</v>
      </c>
      <c r="F11" s="20" t="s">
        <v>99</v>
      </c>
      <c r="G11" s="20" t="s">
        <v>98</v>
      </c>
      <c r="H11" s="5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>
        <v>10</v>
      </c>
      <c r="B12" s="21" t="s">
        <v>110</v>
      </c>
      <c r="C12" s="20" t="s">
        <v>109</v>
      </c>
      <c r="D12" s="20" t="s">
        <v>14</v>
      </c>
      <c r="E12" s="20" t="s">
        <v>23</v>
      </c>
      <c r="F12" s="20" t="s">
        <v>99</v>
      </c>
      <c r="G12" s="20" t="s">
        <v>98</v>
      </c>
      <c r="H12" s="5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3"/>
      <c r="B13" s="24"/>
      <c r="C13" s="23"/>
      <c r="D13" s="23"/>
      <c r="E13" s="23"/>
      <c r="F13" s="23"/>
      <c r="G13" s="23"/>
      <c r="H13" s="2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3"/>
      <c r="B14" s="24"/>
      <c r="C14" s="23"/>
      <c r="D14" s="23"/>
      <c r="E14" s="23"/>
      <c r="F14" s="23"/>
      <c r="G14" s="23"/>
      <c r="H14" s="2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3"/>
      <c r="B15" s="24"/>
      <c r="C15" s="23"/>
      <c r="D15" s="23"/>
      <c r="E15" s="23"/>
      <c r="F15" s="23"/>
      <c r="G15" s="23"/>
      <c r="H15" s="2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3"/>
      <c r="B16" s="24"/>
      <c r="C16" s="23"/>
      <c r="D16" s="23"/>
      <c r="E16" s="23"/>
      <c r="F16" s="23"/>
      <c r="G16" s="23"/>
      <c r="H16" s="2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3"/>
      <c r="B17" s="24"/>
      <c r="C17" s="23"/>
      <c r="D17" s="23"/>
      <c r="E17" s="23"/>
      <c r="F17" s="23"/>
      <c r="G17" s="23"/>
      <c r="H17" s="2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3"/>
      <c r="B18" s="24"/>
      <c r="C18" s="23"/>
      <c r="D18" s="23"/>
      <c r="E18" s="23"/>
      <c r="F18" s="23"/>
      <c r="G18" s="23"/>
      <c r="H18" s="2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3"/>
      <c r="B19" s="24"/>
      <c r="C19" s="23"/>
      <c r="D19" s="23"/>
      <c r="E19" s="23"/>
      <c r="F19" s="23"/>
      <c r="G19" s="23"/>
      <c r="H19" s="2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3"/>
      <c r="B20" s="24"/>
      <c r="C20" s="23"/>
      <c r="D20" s="23"/>
      <c r="E20" s="23"/>
      <c r="F20" s="23"/>
      <c r="G20" s="23"/>
      <c r="H20" s="2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3"/>
      <c r="B21" s="24"/>
      <c r="C21" s="23"/>
      <c r="D21" s="23"/>
      <c r="E21" s="23"/>
      <c r="F21" s="23"/>
      <c r="G21" s="23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3"/>
      <c r="B22" s="24"/>
      <c r="C22" s="23"/>
      <c r="D22" s="23"/>
      <c r="E22" s="23"/>
      <c r="F22" s="23"/>
      <c r="G22" s="23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3"/>
      <c r="B23" s="24"/>
      <c r="C23" s="23"/>
      <c r="D23" s="23"/>
      <c r="E23" s="23"/>
      <c r="F23" s="23"/>
      <c r="G23" s="23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3"/>
      <c r="B24" s="24"/>
      <c r="C24" s="23"/>
      <c r="D24" s="23"/>
      <c r="E24" s="23"/>
      <c r="F24" s="23"/>
      <c r="G24" s="23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3"/>
      <c r="B25" s="24"/>
      <c r="C25" s="23"/>
      <c r="D25" s="23"/>
      <c r="E25" s="23"/>
      <c r="F25" s="23"/>
      <c r="G25" s="23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3"/>
      <c r="B26" s="24"/>
      <c r="C26" s="23"/>
      <c r="D26" s="23"/>
      <c r="E26" s="23"/>
      <c r="F26" s="23"/>
      <c r="G26" s="23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3"/>
      <c r="B27" s="24"/>
      <c r="C27" s="23"/>
      <c r="D27" s="23"/>
      <c r="E27" s="23"/>
      <c r="F27" s="23"/>
      <c r="G27" s="23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3"/>
      <c r="B28" s="24"/>
      <c r="C28" s="23"/>
      <c r="D28" s="23"/>
      <c r="E28" s="23"/>
      <c r="F28" s="23"/>
      <c r="G28" s="23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3"/>
      <c r="B29" s="24"/>
      <c r="C29" s="23"/>
      <c r="D29" s="23"/>
      <c r="E29" s="23"/>
      <c r="F29" s="23"/>
      <c r="G29" s="23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3"/>
      <c r="B30" s="24"/>
      <c r="C30" s="23"/>
      <c r="D30" s="23"/>
      <c r="E30" s="23"/>
      <c r="F30" s="23"/>
      <c r="G30" s="23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3"/>
      <c r="B31" s="24"/>
      <c r="C31" s="23"/>
      <c r="D31" s="23"/>
      <c r="E31" s="23"/>
      <c r="F31" s="23"/>
      <c r="G31" s="23"/>
      <c r="H31" s="2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3"/>
      <c r="B32" s="24"/>
      <c r="C32" s="23"/>
      <c r="D32" s="23"/>
      <c r="E32" s="23"/>
      <c r="F32" s="23"/>
      <c r="G32" s="23"/>
      <c r="H32" s="2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3"/>
      <c r="B33" s="24"/>
      <c r="C33" s="23"/>
      <c r="D33" s="23"/>
      <c r="E33" s="23"/>
      <c r="F33" s="23"/>
      <c r="G33" s="23"/>
      <c r="H33" s="2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3"/>
      <c r="B34" s="24"/>
      <c r="C34" s="23"/>
      <c r="D34" s="23"/>
      <c r="E34" s="23"/>
      <c r="F34" s="23"/>
      <c r="G34" s="23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3"/>
      <c r="B35" s="24"/>
      <c r="C35" s="23"/>
      <c r="D35" s="23"/>
      <c r="E35" s="23"/>
      <c r="F35" s="23"/>
      <c r="G35" s="23"/>
      <c r="H35" s="2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3"/>
      <c r="B36" s="24"/>
      <c r="C36" s="23"/>
      <c r="D36" s="23"/>
      <c r="E36" s="23"/>
      <c r="F36" s="23"/>
      <c r="G36" s="23"/>
      <c r="H36" s="2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3"/>
      <c r="B37" s="24"/>
      <c r="C37" s="23"/>
      <c r="D37" s="23"/>
      <c r="E37" s="23"/>
      <c r="F37" s="23"/>
      <c r="G37" s="23"/>
      <c r="H37" s="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3"/>
      <c r="B38" s="24"/>
      <c r="C38" s="23"/>
      <c r="D38" s="23"/>
      <c r="E38" s="23"/>
      <c r="F38" s="23"/>
      <c r="G38" s="23"/>
      <c r="H38" s="2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3"/>
      <c r="B39" s="24"/>
      <c r="C39" s="23"/>
      <c r="D39" s="23"/>
      <c r="E39" s="23"/>
      <c r="F39" s="23"/>
      <c r="G39" s="23"/>
      <c r="H39" s="2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3"/>
      <c r="B40" s="24"/>
      <c r="C40" s="23"/>
      <c r="D40" s="23"/>
      <c r="E40" s="23"/>
      <c r="F40" s="23"/>
      <c r="G40" s="23"/>
      <c r="H40" s="2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3"/>
      <c r="B41" s="24"/>
      <c r="C41" s="23"/>
      <c r="D41" s="23"/>
      <c r="E41" s="23"/>
      <c r="F41" s="23"/>
      <c r="G41" s="23"/>
      <c r="H41" s="2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3"/>
      <c r="B42" s="24"/>
      <c r="C42" s="23"/>
      <c r="D42" s="23"/>
      <c r="E42" s="23"/>
      <c r="F42" s="23"/>
      <c r="G42" s="23"/>
      <c r="H42" s="2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3"/>
      <c r="B43" s="24"/>
      <c r="C43" s="23"/>
      <c r="D43" s="23"/>
      <c r="E43" s="23"/>
      <c r="F43" s="23"/>
      <c r="G43" s="23"/>
      <c r="H43" s="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3"/>
      <c r="B44" s="24"/>
      <c r="C44" s="23"/>
      <c r="D44" s="23"/>
      <c r="E44" s="23"/>
      <c r="F44" s="23"/>
      <c r="G44" s="23"/>
      <c r="H44" s="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3"/>
      <c r="B45" s="24"/>
      <c r="C45" s="23"/>
      <c r="D45" s="23"/>
      <c r="E45" s="23"/>
      <c r="F45" s="23"/>
      <c r="G45" s="23"/>
      <c r="H45" s="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3"/>
      <c r="B46" s="24"/>
      <c r="C46" s="23"/>
      <c r="D46" s="23"/>
      <c r="E46" s="23"/>
      <c r="F46" s="23"/>
      <c r="G46" s="23"/>
      <c r="H46" s="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3"/>
      <c r="B47" s="24"/>
      <c r="C47" s="23"/>
      <c r="D47" s="23"/>
      <c r="E47" s="23"/>
      <c r="F47" s="23"/>
      <c r="G47" s="23"/>
      <c r="H47" s="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3"/>
      <c r="B48" s="24"/>
      <c r="C48" s="23"/>
      <c r="D48" s="23"/>
      <c r="E48" s="23"/>
      <c r="F48" s="23"/>
      <c r="G48" s="23"/>
      <c r="H48" s="2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3"/>
      <c r="B49" s="24"/>
      <c r="C49" s="23"/>
      <c r="D49" s="23"/>
      <c r="E49" s="23"/>
      <c r="F49" s="23"/>
      <c r="G49" s="23"/>
      <c r="H49" s="2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3"/>
      <c r="B50" s="24"/>
      <c r="C50" s="23"/>
      <c r="D50" s="23"/>
      <c r="E50" s="23"/>
      <c r="F50" s="23"/>
      <c r="G50" s="23"/>
      <c r="H50" s="2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3"/>
      <c r="B51" s="24"/>
      <c r="C51" s="23"/>
      <c r="D51" s="23"/>
      <c r="E51" s="23"/>
      <c r="F51" s="23"/>
      <c r="G51" s="23"/>
      <c r="H51" s="2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3"/>
      <c r="B52" s="24"/>
      <c r="C52" s="23"/>
      <c r="D52" s="23"/>
      <c r="E52" s="23"/>
      <c r="F52" s="23"/>
      <c r="G52" s="23"/>
      <c r="H52" s="2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3"/>
      <c r="B53" s="24"/>
      <c r="C53" s="23"/>
      <c r="D53" s="23"/>
      <c r="E53" s="23"/>
      <c r="F53" s="23"/>
      <c r="G53" s="23"/>
      <c r="H53" s="2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3"/>
      <c r="B54" s="24"/>
      <c r="C54" s="23"/>
      <c r="D54" s="23"/>
      <c r="E54" s="23"/>
      <c r="F54" s="23"/>
      <c r="G54" s="23"/>
      <c r="H54" s="2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3"/>
      <c r="B55" s="24"/>
      <c r="C55" s="23"/>
      <c r="D55" s="23"/>
      <c r="E55" s="23"/>
      <c r="F55" s="23"/>
      <c r="G55" s="23"/>
      <c r="H55" s="25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3"/>
      <c r="B56" s="24"/>
      <c r="C56" s="23"/>
      <c r="D56" s="23"/>
      <c r="E56" s="23"/>
      <c r="F56" s="23"/>
      <c r="G56" s="23"/>
      <c r="H56" s="25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3"/>
      <c r="B57" s="24"/>
      <c r="C57" s="23"/>
      <c r="D57" s="23"/>
      <c r="E57" s="23"/>
      <c r="F57" s="23"/>
      <c r="G57" s="23"/>
      <c r="H57" s="25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3"/>
      <c r="B58" s="24"/>
      <c r="C58" s="23"/>
      <c r="D58" s="23"/>
      <c r="E58" s="23"/>
      <c r="F58" s="23"/>
      <c r="G58" s="23"/>
      <c r="H58" s="2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3"/>
      <c r="B59" s="24"/>
      <c r="C59" s="23"/>
      <c r="D59" s="23"/>
      <c r="E59" s="23"/>
      <c r="F59" s="23"/>
      <c r="G59" s="23"/>
      <c r="H59" s="2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3"/>
      <c r="B60" s="24"/>
      <c r="C60" s="23"/>
      <c r="D60" s="23"/>
      <c r="E60" s="23"/>
      <c r="F60" s="23"/>
      <c r="G60" s="23"/>
      <c r="H60" s="2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3"/>
      <c r="B61" s="24"/>
      <c r="C61" s="23"/>
      <c r="D61" s="23"/>
      <c r="E61" s="23"/>
      <c r="F61" s="23"/>
      <c r="G61" s="23"/>
      <c r="H61" s="2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3"/>
      <c r="B62" s="24"/>
      <c r="C62" s="23"/>
      <c r="D62" s="23"/>
      <c r="E62" s="23"/>
      <c r="F62" s="23"/>
      <c r="G62" s="23"/>
      <c r="H62" s="25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3"/>
      <c r="B63" s="24"/>
      <c r="C63" s="23"/>
      <c r="D63" s="23"/>
      <c r="E63" s="23"/>
      <c r="F63" s="23"/>
      <c r="G63" s="23"/>
      <c r="H63" s="25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3"/>
      <c r="B64" s="24"/>
      <c r="C64" s="23"/>
      <c r="D64" s="23"/>
      <c r="E64" s="23"/>
      <c r="F64" s="23"/>
      <c r="G64" s="23"/>
      <c r="H64" s="25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3"/>
      <c r="B65" s="24"/>
      <c r="C65" s="23"/>
      <c r="D65" s="23"/>
      <c r="E65" s="23"/>
      <c r="F65" s="23"/>
      <c r="G65" s="23"/>
      <c r="H65" s="2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3"/>
      <c r="B66" s="24"/>
      <c r="C66" s="23"/>
      <c r="D66" s="23"/>
      <c r="E66" s="23"/>
      <c r="F66" s="23"/>
      <c r="G66" s="23"/>
      <c r="H66" s="25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3"/>
      <c r="B67" s="24"/>
      <c r="C67" s="23"/>
      <c r="D67" s="23"/>
      <c r="E67" s="23"/>
      <c r="F67" s="23"/>
      <c r="G67" s="23"/>
      <c r="H67" s="25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3"/>
      <c r="B68" s="24"/>
      <c r="C68" s="23"/>
      <c r="D68" s="23"/>
      <c r="E68" s="23"/>
      <c r="F68" s="23"/>
      <c r="G68" s="23"/>
      <c r="H68" s="2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3"/>
      <c r="B69" s="24"/>
      <c r="C69" s="23"/>
      <c r="D69" s="23"/>
      <c r="E69" s="23"/>
      <c r="F69" s="23"/>
      <c r="G69" s="23"/>
      <c r="H69" s="2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3"/>
      <c r="B70" s="24"/>
      <c r="C70" s="23"/>
      <c r="D70" s="23"/>
      <c r="E70" s="23"/>
      <c r="F70" s="23"/>
      <c r="G70" s="23"/>
      <c r="H70" s="2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3"/>
      <c r="B71" s="24"/>
      <c r="C71" s="23"/>
      <c r="D71" s="23"/>
      <c r="E71" s="23"/>
      <c r="F71" s="23"/>
      <c r="G71" s="23"/>
      <c r="H71" s="2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3"/>
      <c r="B72" s="24"/>
      <c r="C72" s="23"/>
      <c r="D72" s="23"/>
      <c r="E72" s="23"/>
      <c r="F72" s="23"/>
      <c r="G72" s="23"/>
      <c r="H72" s="2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3"/>
      <c r="B73" s="24"/>
      <c r="C73" s="23"/>
      <c r="D73" s="23"/>
      <c r="E73" s="23"/>
      <c r="F73" s="23"/>
      <c r="G73" s="23"/>
      <c r="H73" s="2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3"/>
      <c r="B74" s="24"/>
      <c r="C74" s="23"/>
      <c r="D74" s="23"/>
      <c r="E74" s="23"/>
      <c r="F74" s="23"/>
      <c r="G74" s="23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3"/>
      <c r="B75" s="24"/>
      <c r="C75" s="23"/>
      <c r="D75" s="23"/>
      <c r="E75" s="23"/>
      <c r="F75" s="23"/>
      <c r="G75" s="23"/>
      <c r="H75" s="2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3"/>
      <c r="B76" s="24"/>
      <c r="C76" s="23"/>
      <c r="D76" s="23"/>
      <c r="E76" s="23"/>
      <c r="F76" s="23"/>
      <c r="G76" s="23"/>
      <c r="H76" s="2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3"/>
      <c r="B77" s="24"/>
      <c r="C77" s="23"/>
      <c r="D77" s="23"/>
      <c r="E77" s="23"/>
      <c r="F77" s="23"/>
      <c r="G77" s="23"/>
      <c r="H77" s="2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3"/>
      <c r="B78" s="24"/>
      <c r="C78" s="23"/>
      <c r="D78" s="23"/>
      <c r="E78" s="23"/>
      <c r="F78" s="23"/>
      <c r="G78" s="23"/>
      <c r="H78" s="2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3"/>
      <c r="B79" s="24"/>
      <c r="C79" s="23"/>
      <c r="D79" s="23"/>
      <c r="E79" s="23"/>
      <c r="F79" s="23"/>
      <c r="G79" s="23"/>
      <c r="H79" s="2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3"/>
      <c r="B80" s="24"/>
      <c r="C80" s="23"/>
      <c r="D80" s="23"/>
      <c r="E80" s="23"/>
      <c r="F80" s="23"/>
      <c r="G80" s="23"/>
      <c r="H80" s="2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3"/>
      <c r="B81" s="24"/>
      <c r="C81" s="23"/>
      <c r="D81" s="23"/>
      <c r="E81" s="23"/>
      <c r="F81" s="23"/>
      <c r="G81" s="23"/>
      <c r="H81" s="2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3"/>
      <c r="B82" s="24"/>
      <c r="C82" s="23"/>
      <c r="D82" s="23"/>
      <c r="E82" s="23"/>
      <c r="F82" s="23"/>
      <c r="G82" s="23"/>
      <c r="H82" s="2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3"/>
      <c r="B83" s="24"/>
      <c r="C83" s="23"/>
      <c r="D83" s="23"/>
      <c r="E83" s="23"/>
      <c r="F83" s="23"/>
      <c r="G83" s="23"/>
      <c r="H83" s="2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3"/>
      <c r="B84" s="24"/>
      <c r="C84" s="23"/>
      <c r="D84" s="23"/>
      <c r="E84" s="23"/>
      <c r="F84" s="23"/>
      <c r="G84" s="23"/>
      <c r="H84" s="2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3"/>
      <c r="B85" s="24"/>
      <c r="C85" s="23"/>
      <c r="D85" s="23"/>
      <c r="E85" s="23"/>
      <c r="F85" s="23"/>
      <c r="G85" s="23"/>
      <c r="H85" s="2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3"/>
      <c r="B86" s="24"/>
      <c r="C86" s="23"/>
      <c r="D86" s="23"/>
      <c r="E86" s="23"/>
      <c r="F86" s="23"/>
      <c r="G86" s="23"/>
      <c r="H86" s="2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3"/>
      <c r="B87" s="24"/>
      <c r="C87" s="23"/>
      <c r="D87" s="23"/>
      <c r="E87" s="23"/>
      <c r="F87" s="23"/>
      <c r="G87" s="23"/>
      <c r="H87" s="2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3"/>
      <c r="B88" s="24"/>
      <c r="C88" s="23"/>
      <c r="D88" s="23"/>
      <c r="E88" s="23"/>
      <c r="F88" s="23"/>
      <c r="G88" s="23"/>
      <c r="H88" s="2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3"/>
      <c r="B89" s="24"/>
      <c r="C89" s="23"/>
      <c r="D89" s="23"/>
      <c r="E89" s="23"/>
      <c r="F89" s="23"/>
      <c r="G89" s="23"/>
      <c r="H89" s="2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3"/>
      <c r="B90" s="24"/>
      <c r="C90" s="23"/>
      <c r="D90" s="23"/>
      <c r="E90" s="23"/>
      <c r="F90" s="23"/>
      <c r="G90" s="23"/>
      <c r="H90" s="2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3"/>
      <c r="B91" s="24"/>
      <c r="C91" s="23"/>
      <c r="D91" s="23"/>
      <c r="E91" s="23"/>
      <c r="F91" s="23"/>
      <c r="G91" s="23"/>
      <c r="H91" s="2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3"/>
      <c r="B92" s="24"/>
      <c r="C92" s="23"/>
      <c r="D92" s="23"/>
      <c r="E92" s="23"/>
      <c r="F92" s="23"/>
      <c r="G92" s="23"/>
      <c r="H92" s="2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3"/>
      <c r="B93" s="24"/>
      <c r="C93" s="23"/>
      <c r="D93" s="23"/>
      <c r="E93" s="23"/>
      <c r="F93" s="23"/>
      <c r="G93" s="23"/>
      <c r="H93" s="2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3"/>
      <c r="B94" s="24"/>
      <c r="C94" s="23"/>
      <c r="D94" s="23"/>
      <c r="E94" s="23"/>
      <c r="F94" s="23"/>
      <c r="G94" s="23"/>
      <c r="H94" s="2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3"/>
      <c r="B95" s="24"/>
      <c r="C95" s="23"/>
      <c r="D95" s="23"/>
      <c r="E95" s="23"/>
      <c r="F95" s="23"/>
      <c r="G95" s="23"/>
      <c r="H95" s="2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3"/>
      <c r="B96" s="24"/>
      <c r="C96" s="23"/>
      <c r="D96" s="23"/>
      <c r="E96" s="23"/>
      <c r="F96" s="23"/>
      <c r="G96" s="23"/>
      <c r="H96" s="2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3"/>
      <c r="B97" s="24"/>
      <c r="C97" s="23"/>
      <c r="D97" s="23"/>
      <c r="E97" s="23"/>
      <c r="F97" s="23"/>
      <c r="G97" s="23"/>
      <c r="H97" s="2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3"/>
      <c r="B98" s="24"/>
      <c r="C98" s="23"/>
      <c r="D98" s="23"/>
      <c r="E98" s="23"/>
      <c r="F98" s="23"/>
      <c r="G98" s="23"/>
      <c r="H98" s="2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3"/>
      <c r="B99" s="24"/>
      <c r="C99" s="23"/>
      <c r="D99" s="23"/>
      <c r="E99" s="23"/>
      <c r="F99" s="23"/>
      <c r="G99" s="23"/>
      <c r="H99" s="2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3"/>
      <c r="B100" s="24"/>
      <c r="C100" s="23"/>
      <c r="D100" s="23"/>
      <c r="E100" s="23"/>
      <c r="F100" s="23"/>
      <c r="G100" s="23"/>
      <c r="H100" s="2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3"/>
      <c r="B101" s="24"/>
      <c r="C101" s="23"/>
      <c r="D101" s="23"/>
      <c r="E101" s="23"/>
      <c r="F101" s="23"/>
      <c r="G101" s="23"/>
      <c r="H101" s="2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3"/>
      <c r="B102" s="24"/>
      <c r="C102" s="23"/>
      <c r="D102" s="23"/>
      <c r="E102" s="23"/>
      <c r="F102" s="23"/>
      <c r="G102" s="23"/>
      <c r="H102" s="2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3"/>
      <c r="B103" s="24"/>
      <c r="C103" s="23"/>
      <c r="D103" s="23"/>
      <c r="E103" s="23"/>
      <c r="F103" s="23"/>
      <c r="G103" s="23"/>
      <c r="H103" s="2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3"/>
      <c r="B104" s="24"/>
      <c r="C104" s="23"/>
      <c r="D104" s="23"/>
      <c r="E104" s="23"/>
      <c r="F104" s="23"/>
      <c r="G104" s="23"/>
      <c r="H104" s="2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3"/>
      <c r="B105" s="24"/>
      <c r="C105" s="23"/>
      <c r="D105" s="23"/>
      <c r="E105" s="23"/>
      <c r="F105" s="23"/>
      <c r="G105" s="23"/>
      <c r="H105" s="2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3"/>
      <c r="B106" s="24"/>
      <c r="C106" s="23"/>
      <c r="D106" s="23"/>
      <c r="E106" s="23"/>
      <c r="F106" s="23"/>
      <c r="G106" s="23"/>
      <c r="H106" s="2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3"/>
      <c r="B107" s="24"/>
      <c r="C107" s="23"/>
      <c r="D107" s="23"/>
      <c r="E107" s="23"/>
      <c r="F107" s="23"/>
      <c r="G107" s="23"/>
      <c r="H107" s="2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3"/>
      <c r="B108" s="24"/>
      <c r="C108" s="23"/>
      <c r="D108" s="23"/>
      <c r="E108" s="23"/>
      <c r="F108" s="23"/>
      <c r="G108" s="23"/>
      <c r="H108" s="2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3"/>
      <c r="B109" s="24"/>
      <c r="C109" s="23"/>
      <c r="D109" s="23"/>
      <c r="E109" s="23"/>
      <c r="F109" s="23"/>
      <c r="G109" s="23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3"/>
      <c r="B110" s="24"/>
      <c r="C110" s="23"/>
      <c r="D110" s="23"/>
      <c r="E110" s="23"/>
      <c r="F110" s="23"/>
      <c r="G110" s="23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3"/>
      <c r="B111" s="24"/>
      <c r="C111" s="23"/>
      <c r="D111" s="23"/>
      <c r="E111" s="23"/>
      <c r="F111" s="23"/>
      <c r="G111" s="23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3"/>
      <c r="B112" s="24"/>
      <c r="C112" s="23"/>
      <c r="D112" s="23"/>
      <c r="E112" s="23"/>
      <c r="F112" s="23"/>
      <c r="G112" s="23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3"/>
      <c r="B113" s="24"/>
      <c r="C113" s="23"/>
      <c r="D113" s="23"/>
      <c r="E113" s="23"/>
      <c r="F113" s="23"/>
      <c r="G113" s="23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3"/>
      <c r="B114" s="24"/>
      <c r="C114" s="23"/>
      <c r="D114" s="23"/>
      <c r="E114" s="23"/>
      <c r="F114" s="23"/>
      <c r="G114" s="23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3"/>
      <c r="B115" s="24"/>
      <c r="C115" s="23"/>
      <c r="D115" s="23"/>
      <c r="E115" s="23"/>
      <c r="F115" s="23"/>
      <c r="G115" s="23"/>
      <c r="H115" s="2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3"/>
      <c r="B116" s="24"/>
      <c r="C116" s="23"/>
      <c r="D116" s="23"/>
      <c r="E116" s="23"/>
      <c r="F116" s="23"/>
      <c r="G116" s="23"/>
      <c r="H116" s="2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3"/>
      <c r="B117" s="24"/>
      <c r="C117" s="23"/>
      <c r="D117" s="23"/>
      <c r="E117" s="23"/>
      <c r="F117" s="23"/>
      <c r="G117" s="23"/>
      <c r="H117" s="2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3"/>
      <c r="B118" s="24"/>
      <c r="C118" s="23"/>
      <c r="D118" s="23"/>
      <c r="E118" s="23"/>
      <c r="F118" s="23"/>
      <c r="G118" s="23"/>
      <c r="H118" s="2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3"/>
      <c r="B119" s="24"/>
      <c r="C119" s="23"/>
      <c r="D119" s="23"/>
      <c r="E119" s="23"/>
      <c r="F119" s="23"/>
      <c r="G119" s="23"/>
      <c r="H119" s="2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3"/>
      <c r="B120" s="24"/>
      <c r="C120" s="23"/>
      <c r="D120" s="23"/>
      <c r="E120" s="23"/>
      <c r="F120" s="23"/>
      <c r="G120" s="23"/>
      <c r="H120" s="2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3"/>
      <c r="B121" s="24"/>
      <c r="C121" s="23"/>
      <c r="D121" s="23"/>
      <c r="E121" s="23"/>
      <c r="F121" s="23"/>
      <c r="G121" s="23"/>
      <c r="H121" s="2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3"/>
      <c r="B122" s="24"/>
      <c r="C122" s="23"/>
      <c r="D122" s="23"/>
      <c r="E122" s="23"/>
      <c r="F122" s="23"/>
      <c r="G122" s="23"/>
      <c r="H122" s="2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3"/>
      <c r="B123" s="24"/>
      <c r="C123" s="23"/>
      <c r="D123" s="23"/>
      <c r="E123" s="23"/>
      <c r="F123" s="23"/>
      <c r="G123" s="23"/>
      <c r="H123" s="2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3"/>
      <c r="B124" s="24"/>
      <c r="C124" s="23"/>
      <c r="D124" s="23"/>
      <c r="E124" s="23"/>
      <c r="F124" s="23"/>
      <c r="G124" s="23"/>
      <c r="H124" s="2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3"/>
      <c r="B125" s="24"/>
      <c r="C125" s="23"/>
      <c r="D125" s="23"/>
      <c r="E125" s="23"/>
      <c r="F125" s="23"/>
      <c r="G125" s="23"/>
      <c r="H125" s="2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3"/>
      <c r="B126" s="24"/>
      <c r="C126" s="23"/>
      <c r="D126" s="23"/>
      <c r="E126" s="23"/>
      <c r="F126" s="23"/>
      <c r="G126" s="23"/>
      <c r="H126" s="2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3"/>
      <c r="B127" s="24"/>
      <c r="C127" s="23"/>
      <c r="D127" s="23"/>
      <c r="E127" s="23"/>
      <c r="F127" s="23"/>
      <c r="G127" s="23"/>
      <c r="H127" s="2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3"/>
      <c r="B128" s="24"/>
      <c r="C128" s="23"/>
      <c r="D128" s="23"/>
      <c r="E128" s="23"/>
      <c r="F128" s="23"/>
      <c r="G128" s="23"/>
      <c r="H128" s="2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3"/>
      <c r="B129" s="24"/>
      <c r="C129" s="23"/>
      <c r="D129" s="23"/>
      <c r="E129" s="23"/>
      <c r="F129" s="23"/>
      <c r="G129" s="23"/>
      <c r="H129" s="2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3"/>
      <c r="B130" s="24"/>
      <c r="C130" s="23"/>
      <c r="D130" s="23"/>
      <c r="E130" s="23"/>
      <c r="F130" s="23"/>
      <c r="G130" s="23"/>
      <c r="H130" s="2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3"/>
      <c r="B131" s="24"/>
      <c r="C131" s="23"/>
      <c r="D131" s="23"/>
      <c r="E131" s="23"/>
      <c r="F131" s="23"/>
      <c r="G131" s="23"/>
      <c r="H131" s="2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3"/>
      <c r="B132" s="24"/>
      <c r="C132" s="23"/>
      <c r="D132" s="23"/>
      <c r="E132" s="23"/>
      <c r="F132" s="23"/>
      <c r="G132" s="23"/>
      <c r="H132" s="2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3"/>
      <c r="B133" s="24"/>
      <c r="C133" s="23"/>
      <c r="D133" s="23"/>
      <c r="E133" s="23"/>
      <c r="F133" s="23"/>
      <c r="G133" s="23"/>
      <c r="H133" s="2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3"/>
      <c r="B134" s="24"/>
      <c r="C134" s="23"/>
      <c r="D134" s="23"/>
      <c r="E134" s="23"/>
      <c r="F134" s="23"/>
      <c r="G134" s="23"/>
      <c r="H134" s="2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3"/>
      <c r="B135" s="24"/>
      <c r="C135" s="23"/>
      <c r="D135" s="23"/>
      <c r="E135" s="23"/>
      <c r="F135" s="23"/>
      <c r="G135" s="23"/>
      <c r="H135" s="2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3"/>
      <c r="B136" s="24"/>
      <c r="C136" s="23"/>
      <c r="D136" s="23"/>
      <c r="E136" s="23"/>
      <c r="F136" s="23"/>
      <c r="G136" s="23"/>
      <c r="H136" s="2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3"/>
      <c r="B137" s="24"/>
      <c r="C137" s="23"/>
      <c r="D137" s="23"/>
      <c r="E137" s="23"/>
      <c r="F137" s="23"/>
      <c r="G137" s="23"/>
      <c r="H137" s="2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3"/>
      <c r="B138" s="24"/>
      <c r="C138" s="23"/>
      <c r="D138" s="23"/>
      <c r="E138" s="23"/>
      <c r="F138" s="23"/>
      <c r="G138" s="23"/>
      <c r="H138" s="2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3"/>
      <c r="B139" s="24"/>
      <c r="C139" s="23"/>
      <c r="D139" s="23"/>
      <c r="E139" s="23"/>
      <c r="F139" s="23"/>
      <c r="G139" s="23"/>
      <c r="H139" s="2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3"/>
      <c r="B140" s="24"/>
      <c r="C140" s="23"/>
      <c r="D140" s="23"/>
      <c r="E140" s="23"/>
      <c r="F140" s="23"/>
      <c r="G140" s="23"/>
      <c r="H140" s="2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3"/>
      <c r="B141" s="24"/>
      <c r="C141" s="23"/>
      <c r="D141" s="23"/>
      <c r="E141" s="23"/>
      <c r="F141" s="23"/>
      <c r="G141" s="23"/>
      <c r="H141" s="25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3"/>
      <c r="B142" s="24"/>
      <c r="C142" s="23"/>
      <c r="D142" s="23"/>
      <c r="E142" s="23"/>
      <c r="F142" s="23"/>
      <c r="G142" s="23"/>
      <c r="H142" s="25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3"/>
      <c r="B143" s="24"/>
      <c r="C143" s="23"/>
      <c r="D143" s="23"/>
      <c r="E143" s="23"/>
      <c r="F143" s="23"/>
      <c r="G143" s="23"/>
      <c r="H143" s="25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3"/>
      <c r="B144" s="24"/>
      <c r="C144" s="23"/>
      <c r="D144" s="23"/>
      <c r="E144" s="23"/>
      <c r="F144" s="23"/>
      <c r="G144" s="23"/>
      <c r="H144" s="25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3"/>
      <c r="B145" s="24"/>
      <c r="C145" s="23"/>
      <c r="D145" s="23"/>
      <c r="E145" s="23"/>
      <c r="F145" s="23"/>
      <c r="G145" s="23"/>
      <c r="H145" s="25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3"/>
      <c r="B146" s="24"/>
      <c r="C146" s="23"/>
      <c r="D146" s="23"/>
      <c r="E146" s="23"/>
      <c r="F146" s="23"/>
      <c r="G146" s="23"/>
      <c r="H146" s="25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3"/>
      <c r="B147" s="24"/>
      <c r="C147" s="23"/>
      <c r="D147" s="23"/>
      <c r="E147" s="23"/>
      <c r="F147" s="23"/>
      <c r="G147" s="23"/>
      <c r="H147" s="25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3"/>
      <c r="B148" s="24"/>
      <c r="C148" s="23"/>
      <c r="D148" s="23"/>
      <c r="E148" s="23"/>
      <c r="F148" s="23"/>
      <c r="G148" s="23"/>
      <c r="H148" s="25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3"/>
      <c r="B149" s="24"/>
      <c r="C149" s="23"/>
      <c r="D149" s="23"/>
      <c r="E149" s="23"/>
      <c r="F149" s="23"/>
      <c r="G149" s="23"/>
      <c r="H149" s="25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3"/>
      <c r="B150" s="24"/>
      <c r="C150" s="23"/>
      <c r="D150" s="23"/>
      <c r="E150" s="23"/>
      <c r="F150" s="23"/>
      <c r="G150" s="23"/>
      <c r="H150" s="25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3"/>
      <c r="B151" s="24"/>
      <c r="C151" s="23"/>
      <c r="D151" s="23"/>
      <c r="E151" s="23"/>
      <c r="F151" s="23"/>
      <c r="G151" s="23"/>
      <c r="H151" s="25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3"/>
      <c r="B152" s="24"/>
      <c r="C152" s="23"/>
      <c r="D152" s="23"/>
      <c r="E152" s="23"/>
      <c r="F152" s="23"/>
      <c r="G152" s="23"/>
      <c r="H152" s="25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3"/>
      <c r="B153" s="24"/>
      <c r="C153" s="23"/>
      <c r="D153" s="23"/>
      <c r="E153" s="23"/>
      <c r="F153" s="23"/>
      <c r="G153" s="23"/>
      <c r="H153" s="25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3"/>
      <c r="B154" s="24"/>
      <c r="C154" s="23"/>
      <c r="D154" s="23"/>
      <c r="E154" s="23"/>
      <c r="F154" s="23"/>
      <c r="G154" s="23"/>
      <c r="H154" s="25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3"/>
      <c r="B155" s="24"/>
      <c r="C155" s="23"/>
      <c r="D155" s="23"/>
      <c r="E155" s="23"/>
      <c r="F155" s="23"/>
      <c r="G155" s="23"/>
      <c r="H155" s="25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3"/>
      <c r="B156" s="24"/>
      <c r="C156" s="23"/>
      <c r="D156" s="23"/>
      <c r="E156" s="23"/>
      <c r="F156" s="23"/>
      <c r="G156" s="23"/>
      <c r="H156" s="25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3"/>
      <c r="B157" s="24"/>
      <c r="C157" s="23"/>
      <c r="D157" s="23"/>
      <c r="E157" s="23"/>
      <c r="F157" s="23"/>
      <c r="G157" s="23"/>
      <c r="H157" s="25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3"/>
      <c r="B158" s="24"/>
      <c r="C158" s="23"/>
      <c r="D158" s="23"/>
      <c r="E158" s="23"/>
      <c r="F158" s="23"/>
      <c r="G158" s="23"/>
      <c r="H158" s="25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3"/>
      <c r="B159" s="24"/>
      <c r="C159" s="23"/>
      <c r="D159" s="23"/>
      <c r="E159" s="23"/>
      <c r="F159" s="23"/>
      <c r="G159" s="23"/>
      <c r="H159" s="25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3"/>
      <c r="B160" s="24"/>
      <c r="C160" s="23"/>
      <c r="D160" s="23"/>
      <c r="E160" s="23"/>
      <c r="F160" s="23"/>
      <c r="G160" s="23"/>
      <c r="H160" s="25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3"/>
      <c r="B161" s="24"/>
      <c r="C161" s="23"/>
      <c r="D161" s="23"/>
      <c r="E161" s="23"/>
      <c r="F161" s="23"/>
      <c r="G161" s="23"/>
      <c r="H161" s="25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3"/>
      <c r="B162" s="24"/>
      <c r="C162" s="23"/>
      <c r="D162" s="23"/>
      <c r="E162" s="23"/>
      <c r="F162" s="23"/>
      <c r="G162" s="23"/>
      <c r="H162" s="25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3"/>
      <c r="B163" s="24"/>
      <c r="C163" s="23"/>
      <c r="D163" s="23"/>
      <c r="E163" s="23"/>
      <c r="F163" s="23"/>
      <c r="G163" s="23"/>
      <c r="H163" s="25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3"/>
      <c r="B164" s="24"/>
      <c r="C164" s="23"/>
      <c r="D164" s="23"/>
      <c r="E164" s="23"/>
      <c r="F164" s="23"/>
      <c r="G164" s="23"/>
      <c r="H164" s="25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3"/>
      <c r="B165" s="24"/>
      <c r="C165" s="23"/>
      <c r="D165" s="23"/>
      <c r="E165" s="23"/>
      <c r="F165" s="23"/>
      <c r="G165" s="23"/>
      <c r="H165" s="25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3"/>
      <c r="B166" s="24"/>
      <c r="C166" s="23"/>
      <c r="D166" s="23"/>
      <c r="E166" s="23"/>
      <c r="F166" s="23"/>
      <c r="G166" s="23"/>
      <c r="H166" s="25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3"/>
      <c r="B167" s="24"/>
      <c r="C167" s="23"/>
      <c r="D167" s="23"/>
      <c r="E167" s="23"/>
      <c r="F167" s="23"/>
      <c r="G167" s="23"/>
      <c r="H167" s="25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3"/>
      <c r="B168" s="24"/>
      <c r="C168" s="23"/>
      <c r="D168" s="23"/>
      <c r="E168" s="23"/>
      <c r="F168" s="23"/>
      <c r="G168" s="23"/>
      <c r="H168" s="25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3"/>
      <c r="B169" s="24"/>
      <c r="C169" s="23"/>
      <c r="D169" s="23"/>
      <c r="E169" s="23"/>
      <c r="F169" s="23"/>
      <c r="G169" s="23"/>
      <c r="H169" s="25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3"/>
      <c r="B170" s="24"/>
      <c r="C170" s="23"/>
      <c r="D170" s="23"/>
      <c r="E170" s="23"/>
      <c r="F170" s="23"/>
      <c r="G170" s="23"/>
      <c r="H170" s="25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3"/>
      <c r="B171" s="24"/>
      <c r="C171" s="23"/>
      <c r="D171" s="23"/>
      <c r="E171" s="23"/>
      <c r="F171" s="23"/>
      <c r="G171" s="23"/>
      <c r="H171" s="25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3"/>
      <c r="B172" s="24"/>
      <c r="C172" s="23"/>
      <c r="D172" s="23"/>
      <c r="E172" s="23"/>
      <c r="F172" s="23"/>
      <c r="G172" s="23"/>
      <c r="H172" s="25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3"/>
      <c r="B173" s="24"/>
      <c r="C173" s="23"/>
      <c r="D173" s="23"/>
      <c r="E173" s="23"/>
      <c r="F173" s="23"/>
      <c r="G173" s="23"/>
      <c r="H173" s="25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3"/>
      <c r="B174" s="24"/>
      <c r="C174" s="23"/>
      <c r="D174" s="23"/>
      <c r="E174" s="23"/>
      <c r="F174" s="23"/>
      <c r="G174" s="23"/>
      <c r="H174" s="25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3"/>
      <c r="B175" s="24"/>
      <c r="C175" s="23"/>
      <c r="D175" s="23"/>
      <c r="E175" s="23"/>
      <c r="F175" s="23"/>
      <c r="G175" s="23"/>
      <c r="H175" s="25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3"/>
      <c r="B176" s="24"/>
      <c r="C176" s="23"/>
      <c r="D176" s="23"/>
      <c r="E176" s="23"/>
      <c r="F176" s="23"/>
      <c r="G176" s="23"/>
      <c r="H176" s="25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3"/>
      <c r="B177" s="24"/>
      <c r="C177" s="23"/>
      <c r="D177" s="23"/>
      <c r="E177" s="23"/>
      <c r="F177" s="23"/>
      <c r="G177" s="23"/>
      <c r="H177" s="25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3"/>
      <c r="B178" s="24"/>
      <c r="C178" s="23"/>
      <c r="D178" s="23"/>
      <c r="E178" s="23"/>
      <c r="F178" s="23"/>
      <c r="G178" s="23"/>
      <c r="H178" s="25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3"/>
      <c r="B179" s="24"/>
      <c r="C179" s="23"/>
      <c r="D179" s="23"/>
      <c r="E179" s="23"/>
      <c r="F179" s="23"/>
      <c r="G179" s="23"/>
      <c r="H179" s="25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3"/>
      <c r="B180" s="24"/>
      <c r="C180" s="23"/>
      <c r="D180" s="23"/>
      <c r="E180" s="23"/>
      <c r="F180" s="23"/>
      <c r="G180" s="23"/>
      <c r="H180" s="25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3"/>
      <c r="B181" s="24"/>
      <c r="C181" s="23"/>
      <c r="D181" s="23"/>
      <c r="E181" s="23"/>
      <c r="F181" s="23"/>
      <c r="G181" s="23"/>
      <c r="H181" s="25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3"/>
      <c r="B182" s="24"/>
      <c r="C182" s="23"/>
      <c r="D182" s="23"/>
      <c r="E182" s="23"/>
      <c r="F182" s="23"/>
      <c r="G182" s="23"/>
      <c r="H182" s="25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3"/>
      <c r="B183" s="24"/>
      <c r="C183" s="23"/>
      <c r="D183" s="23"/>
      <c r="E183" s="23"/>
      <c r="F183" s="23"/>
      <c r="G183" s="23"/>
      <c r="H183" s="25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3"/>
      <c r="B184" s="24"/>
      <c r="C184" s="23"/>
      <c r="D184" s="23"/>
      <c r="E184" s="23"/>
      <c r="F184" s="23"/>
      <c r="G184" s="23"/>
      <c r="H184" s="25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23"/>
      <c r="B185" s="24"/>
      <c r="C185" s="23"/>
      <c r="D185" s="23"/>
      <c r="E185" s="23"/>
      <c r="F185" s="23"/>
      <c r="G185" s="23"/>
      <c r="H185" s="25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23"/>
      <c r="B186" s="24"/>
      <c r="C186" s="23"/>
      <c r="D186" s="23"/>
      <c r="E186" s="23"/>
      <c r="F186" s="23"/>
      <c r="G186" s="23"/>
      <c r="H186" s="2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23"/>
      <c r="B187" s="24"/>
      <c r="C187" s="23"/>
      <c r="D187" s="23"/>
      <c r="E187" s="23"/>
      <c r="F187" s="23"/>
      <c r="G187" s="23"/>
      <c r="H187" s="2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23"/>
      <c r="B188" s="24"/>
      <c r="C188" s="23"/>
      <c r="D188" s="23"/>
      <c r="E188" s="23"/>
      <c r="F188" s="23"/>
      <c r="G188" s="23"/>
      <c r="H188" s="2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23"/>
      <c r="B189" s="24"/>
      <c r="C189" s="23"/>
      <c r="D189" s="23"/>
      <c r="E189" s="23"/>
      <c r="F189" s="23"/>
      <c r="G189" s="23"/>
      <c r="H189" s="2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23"/>
      <c r="B190" s="24"/>
      <c r="C190" s="23"/>
      <c r="D190" s="23"/>
      <c r="E190" s="23"/>
      <c r="F190" s="23"/>
      <c r="G190" s="23"/>
      <c r="H190" s="2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23"/>
      <c r="B191" s="24"/>
      <c r="C191" s="23"/>
      <c r="D191" s="23"/>
      <c r="E191" s="23"/>
      <c r="F191" s="23"/>
      <c r="G191" s="23"/>
      <c r="H191" s="25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23"/>
      <c r="B192" s="24"/>
      <c r="C192" s="23"/>
      <c r="D192" s="23"/>
      <c r="E192" s="23"/>
      <c r="F192" s="23"/>
      <c r="G192" s="23"/>
      <c r="H192" s="25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23"/>
      <c r="B193" s="24"/>
      <c r="C193" s="23"/>
      <c r="D193" s="23"/>
      <c r="E193" s="23"/>
      <c r="F193" s="23"/>
      <c r="G193" s="23"/>
      <c r="H193" s="25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23"/>
      <c r="B194" s="24"/>
      <c r="C194" s="23"/>
      <c r="D194" s="23"/>
      <c r="E194" s="23"/>
      <c r="F194" s="23"/>
      <c r="G194" s="23"/>
      <c r="H194" s="25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23"/>
      <c r="B195" s="24"/>
      <c r="C195" s="23"/>
      <c r="D195" s="23"/>
      <c r="E195" s="23"/>
      <c r="F195" s="23"/>
      <c r="G195" s="23"/>
      <c r="H195" s="25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23"/>
      <c r="B196" s="24"/>
      <c r="C196" s="23"/>
      <c r="D196" s="23"/>
      <c r="E196" s="23"/>
      <c r="F196" s="23"/>
      <c r="G196" s="23"/>
      <c r="H196" s="25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23"/>
      <c r="B197" s="24"/>
      <c r="C197" s="23"/>
      <c r="D197" s="23"/>
      <c r="E197" s="23"/>
      <c r="F197" s="23"/>
      <c r="G197" s="23"/>
      <c r="H197" s="25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23"/>
      <c r="B198" s="24"/>
      <c r="C198" s="23"/>
      <c r="D198" s="23"/>
      <c r="E198" s="23"/>
      <c r="F198" s="23"/>
      <c r="G198" s="23"/>
      <c r="H198" s="25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23"/>
      <c r="B199" s="24"/>
      <c r="C199" s="23"/>
      <c r="D199" s="23"/>
      <c r="E199" s="23"/>
      <c r="F199" s="23"/>
      <c r="G199" s="23"/>
      <c r="H199" s="25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23"/>
      <c r="B200" s="24"/>
      <c r="C200" s="23"/>
      <c r="D200" s="23"/>
      <c r="E200" s="23"/>
      <c r="F200" s="23"/>
      <c r="G200" s="23"/>
      <c r="H200" s="25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23"/>
      <c r="B201" s="24"/>
      <c r="C201" s="23"/>
      <c r="D201" s="23"/>
      <c r="E201" s="23"/>
      <c r="F201" s="23"/>
      <c r="G201" s="23"/>
      <c r="H201" s="25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23"/>
      <c r="B202" s="24"/>
      <c r="C202" s="23"/>
      <c r="D202" s="23"/>
      <c r="E202" s="23"/>
      <c r="F202" s="23"/>
      <c r="G202" s="23"/>
      <c r="H202" s="25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23"/>
      <c r="B203" s="24"/>
      <c r="C203" s="23"/>
      <c r="D203" s="23"/>
      <c r="E203" s="23"/>
      <c r="F203" s="23"/>
      <c r="G203" s="23"/>
      <c r="H203" s="25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23"/>
      <c r="B204" s="24"/>
      <c r="C204" s="23"/>
      <c r="D204" s="23"/>
      <c r="E204" s="23"/>
      <c r="F204" s="23"/>
      <c r="G204" s="23"/>
      <c r="H204" s="25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23"/>
      <c r="B205" s="24"/>
      <c r="C205" s="23"/>
      <c r="D205" s="23"/>
      <c r="E205" s="23"/>
      <c r="F205" s="23"/>
      <c r="G205" s="23"/>
      <c r="H205" s="25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23"/>
      <c r="B206" s="24"/>
      <c r="C206" s="23"/>
      <c r="D206" s="23"/>
      <c r="E206" s="23"/>
      <c r="F206" s="23"/>
      <c r="G206" s="23"/>
      <c r="H206" s="25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23"/>
      <c r="B207" s="24"/>
      <c r="C207" s="23"/>
      <c r="D207" s="23"/>
      <c r="E207" s="23"/>
      <c r="F207" s="23"/>
      <c r="G207" s="23"/>
      <c r="H207" s="25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23"/>
      <c r="B208" s="24"/>
      <c r="C208" s="23"/>
      <c r="D208" s="23"/>
      <c r="E208" s="23"/>
      <c r="F208" s="23"/>
      <c r="G208" s="23"/>
      <c r="H208" s="25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23"/>
      <c r="B209" s="24"/>
      <c r="C209" s="23"/>
      <c r="D209" s="23"/>
      <c r="E209" s="23"/>
      <c r="F209" s="23"/>
      <c r="G209" s="23"/>
      <c r="H209" s="25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23"/>
      <c r="B210" s="24"/>
      <c r="C210" s="23"/>
      <c r="D210" s="23"/>
      <c r="E210" s="23"/>
      <c r="F210" s="23"/>
      <c r="G210" s="23"/>
      <c r="H210" s="25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23"/>
      <c r="B211" s="24"/>
      <c r="C211" s="23"/>
      <c r="D211" s="23"/>
      <c r="E211" s="23"/>
      <c r="F211" s="23"/>
      <c r="G211" s="23"/>
      <c r="H211" s="25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23"/>
      <c r="B212" s="24"/>
      <c r="C212" s="23"/>
      <c r="D212" s="23"/>
      <c r="E212" s="23"/>
      <c r="F212" s="23"/>
      <c r="G212" s="23"/>
      <c r="H212" s="25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23"/>
      <c r="B213" s="24"/>
      <c r="C213" s="23"/>
      <c r="D213" s="23"/>
      <c r="E213" s="23"/>
      <c r="F213" s="23"/>
      <c r="G213" s="23"/>
      <c r="H213" s="25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23"/>
      <c r="B214" s="24"/>
      <c r="C214" s="23"/>
      <c r="D214" s="23"/>
      <c r="E214" s="23"/>
      <c r="F214" s="23"/>
      <c r="G214" s="23"/>
      <c r="H214" s="25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23"/>
      <c r="B215" s="24"/>
      <c r="C215" s="23"/>
      <c r="D215" s="23"/>
      <c r="E215" s="23"/>
      <c r="F215" s="23"/>
      <c r="G215" s="23"/>
      <c r="H215" s="25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23"/>
      <c r="B216" s="24"/>
      <c r="C216" s="23"/>
      <c r="D216" s="23"/>
      <c r="E216" s="23"/>
      <c r="F216" s="23"/>
      <c r="G216" s="23"/>
      <c r="H216" s="25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23"/>
      <c r="B217" s="24"/>
      <c r="C217" s="23"/>
      <c r="D217" s="23"/>
      <c r="E217" s="23"/>
      <c r="F217" s="23"/>
      <c r="G217" s="23"/>
      <c r="H217" s="25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23"/>
      <c r="B218" s="24"/>
      <c r="C218" s="23"/>
      <c r="D218" s="23"/>
      <c r="E218" s="23"/>
      <c r="F218" s="23"/>
      <c r="G218" s="23"/>
      <c r="H218" s="25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23"/>
      <c r="B219" s="24"/>
      <c r="C219" s="23"/>
      <c r="D219" s="23"/>
      <c r="E219" s="23"/>
      <c r="F219" s="23"/>
      <c r="G219" s="23"/>
      <c r="H219" s="25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23"/>
      <c r="B220" s="24"/>
      <c r="C220" s="23"/>
      <c r="D220" s="23"/>
      <c r="E220" s="23"/>
      <c r="F220" s="23"/>
      <c r="G220" s="23"/>
      <c r="H220" s="25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A1:J1"/>
    <mergeCell ref="H3:H1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3" sqref="A3:G13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5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32"/>
      <c r="L1" s="32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26" t="s">
        <v>1</v>
      </c>
      <c r="B2" s="27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31" t="s">
        <v>10</v>
      </c>
      <c r="I2" s="26" t="s">
        <v>5</v>
      </c>
      <c r="J2" s="33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6"/>
      <c r="Y2" s="16"/>
      <c r="Z2" s="16"/>
    </row>
    <row r="3" spans="1:26" ht="15.75" customHeight="1">
      <c r="A3" s="20">
        <v>1</v>
      </c>
      <c r="B3" s="21" t="s">
        <v>111</v>
      </c>
      <c r="C3" s="20" t="s">
        <v>112</v>
      </c>
      <c r="D3" s="20" t="s">
        <v>14</v>
      </c>
      <c r="E3" s="20" t="s">
        <v>19</v>
      </c>
      <c r="F3" s="20" t="s">
        <v>113</v>
      </c>
      <c r="G3" s="20" t="s">
        <v>114</v>
      </c>
      <c r="H3" s="54" t="s">
        <v>45</v>
      </c>
      <c r="I3" s="20" t="s">
        <v>19</v>
      </c>
      <c r="J3" s="30">
        <f>5/11</f>
        <v>0.45454545454545453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0">
        <v>2</v>
      </c>
      <c r="B4" s="21" t="s">
        <v>115</v>
      </c>
      <c r="C4" s="20" t="s">
        <v>112</v>
      </c>
      <c r="D4" s="20" t="s">
        <v>14</v>
      </c>
      <c r="E4" s="20" t="s">
        <v>19</v>
      </c>
      <c r="F4" s="20" t="s">
        <v>113</v>
      </c>
      <c r="G4" s="20" t="s">
        <v>114</v>
      </c>
      <c r="H4" s="55"/>
      <c r="I4" s="20" t="s">
        <v>15</v>
      </c>
      <c r="J4" s="30">
        <f t="shared" ref="J4:J5" si="0">3/11</f>
        <v>0.27272727272727271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0">
        <v>3</v>
      </c>
      <c r="B5" s="21" t="s">
        <v>116</v>
      </c>
      <c r="C5" s="20" t="s">
        <v>112</v>
      </c>
      <c r="D5" s="20" t="s">
        <v>14</v>
      </c>
      <c r="E5" s="20" t="s">
        <v>23</v>
      </c>
      <c r="F5" s="20" t="s">
        <v>113</v>
      </c>
      <c r="G5" s="20" t="s">
        <v>114</v>
      </c>
      <c r="H5" s="55"/>
      <c r="I5" s="20" t="s">
        <v>23</v>
      </c>
      <c r="J5" s="30">
        <f t="shared" si="0"/>
        <v>0.27272727272727271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0">
        <v>4</v>
      </c>
      <c r="B6" s="21" t="s">
        <v>42</v>
      </c>
      <c r="C6" s="20" t="s">
        <v>117</v>
      </c>
      <c r="D6" s="20" t="s">
        <v>14</v>
      </c>
      <c r="E6" s="20" t="s">
        <v>19</v>
      </c>
      <c r="F6" s="20" t="s">
        <v>113</v>
      </c>
      <c r="G6" s="20" t="s">
        <v>114</v>
      </c>
      <c r="H6" s="5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20">
        <v>5</v>
      </c>
      <c r="B7" s="21" t="s">
        <v>118</v>
      </c>
      <c r="C7" s="20" t="s">
        <v>117</v>
      </c>
      <c r="D7" s="20" t="s">
        <v>14</v>
      </c>
      <c r="E7" s="20" t="s">
        <v>19</v>
      </c>
      <c r="F7" s="20" t="s">
        <v>113</v>
      </c>
      <c r="G7" s="20" t="s">
        <v>114</v>
      </c>
      <c r="H7" s="5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0">
        <v>6</v>
      </c>
      <c r="B8" s="21" t="s">
        <v>119</v>
      </c>
      <c r="C8" s="20" t="s">
        <v>120</v>
      </c>
      <c r="D8" s="20" t="s">
        <v>26</v>
      </c>
      <c r="E8" s="20" t="s">
        <v>19</v>
      </c>
      <c r="F8" s="20" t="s">
        <v>113</v>
      </c>
      <c r="G8" s="20" t="s">
        <v>114</v>
      </c>
      <c r="H8" s="5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>
        <v>7</v>
      </c>
      <c r="B9" s="21" t="s">
        <v>121</v>
      </c>
      <c r="C9" s="20" t="s">
        <v>120</v>
      </c>
      <c r="D9" s="20" t="s">
        <v>14</v>
      </c>
      <c r="E9" s="20" t="s">
        <v>23</v>
      </c>
      <c r="F9" s="20" t="s">
        <v>113</v>
      </c>
      <c r="G9" s="20" t="s">
        <v>114</v>
      </c>
      <c r="H9" s="5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">
        <v>8</v>
      </c>
      <c r="B10" s="21" t="s">
        <v>122</v>
      </c>
      <c r="C10" s="20" t="s">
        <v>120</v>
      </c>
      <c r="D10" s="20" t="s">
        <v>14</v>
      </c>
      <c r="E10" s="20" t="s">
        <v>15</v>
      </c>
      <c r="F10" s="20" t="s">
        <v>113</v>
      </c>
      <c r="G10" s="20" t="s">
        <v>114</v>
      </c>
      <c r="H10" s="5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>
        <v>9</v>
      </c>
      <c r="B11" s="21" t="s">
        <v>123</v>
      </c>
      <c r="C11" s="20" t="s">
        <v>120</v>
      </c>
      <c r="D11" s="20" t="s">
        <v>14</v>
      </c>
      <c r="E11" s="20" t="s">
        <v>23</v>
      </c>
      <c r="F11" s="20" t="s">
        <v>113</v>
      </c>
      <c r="G11" s="20" t="s">
        <v>114</v>
      </c>
      <c r="H11" s="5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>
        <v>10</v>
      </c>
      <c r="B12" s="21" t="s">
        <v>124</v>
      </c>
      <c r="C12" s="20" t="s">
        <v>125</v>
      </c>
      <c r="D12" s="20" t="s">
        <v>14</v>
      </c>
      <c r="E12" s="20" t="s">
        <v>15</v>
      </c>
      <c r="F12" s="20" t="s">
        <v>113</v>
      </c>
      <c r="G12" s="20" t="s">
        <v>114</v>
      </c>
      <c r="H12" s="5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0">
        <v>11</v>
      </c>
      <c r="B13" s="21" t="s">
        <v>126</v>
      </c>
      <c r="C13" s="20" t="s">
        <v>117</v>
      </c>
      <c r="D13" s="20" t="s">
        <v>14</v>
      </c>
      <c r="E13" s="20" t="s">
        <v>15</v>
      </c>
      <c r="F13" s="20" t="s">
        <v>113</v>
      </c>
      <c r="G13" s="20" t="s">
        <v>114</v>
      </c>
      <c r="H13" s="5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3"/>
      <c r="B14" s="24"/>
      <c r="C14" s="23"/>
      <c r="D14" s="23"/>
      <c r="E14" s="23"/>
      <c r="F14" s="23"/>
      <c r="G14" s="23"/>
      <c r="H14" s="2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3"/>
      <c r="B15" s="24"/>
      <c r="C15" s="23"/>
      <c r="D15" s="23"/>
      <c r="E15" s="23"/>
      <c r="F15" s="23"/>
      <c r="G15" s="23"/>
      <c r="H15" s="2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3"/>
      <c r="B16" s="24"/>
      <c r="C16" s="23"/>
      <c r="D16" s="23"/>
      <c r="E16" s="23"/>
      <c r="F16" s="23"/>
      <c r="G16" s="23"/>
      <c r="H16" s="2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3"/>
      <c r="B17" s="24"/>
      <c r="C17" s="23"/>
      <c r="D17" s="23"/>
      <c r="E17" s="23"/>
      <c r="F17" s="23"/>
      <c r="G17" s="23"/>
      <c r="H17" s="2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3"/>
      <c r="B18" s="24"/>
      <c r="C18" s="23"/>
      <c r="D18" s="23"/>
      <c r="E18" s="23"/>
      <c r="F18" s="23"/>
      <c r="G18" s="23"/>
      <c r="H18" s="2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3"/>
      <c r="B19" s="24"/>
      <c r="C19" s="23"/>
      <c r="D19" s="23"/>
      <c r="E19" s="23"/>
      <c r="F19" s="23"/>
      <c r="G19" s="23"/>
      <c r="H19" s="2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3"/>
      <c r="B20" s="24"/>
      <c r="C20" s="23"/>
      <c r="D20" s="23"/>
      <c r="E20" s="23"/>
      <c r="F20" s="23"/>
      <c r="G20" s="23"/>
      <c r="H20" s="2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3"/>
      <c r="B21" s="24"/>
      <c r="C21" s="23"/>
      <c r="D21" s="23"/>
      <c r="E21" s="23"/>
      <c r="F21" s="23"/>
      <c r="G21" s="23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3"/>
      <c r="B22" s="24"/>
      <c r="C22" s="23"/>
      <c r="D22" s="23"/>
      <c r="E22" s="23"/>
      <c r="F22" s="23"/>
      <c r="G22" s="23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3"/>
      <c r="B23" s="24"/>
      <c r="C23" s="23"/>
      <c r="D23" s="23"/>
      <c r="E23" s="23"/>
      <c r="F23" s="23"/>
      <c r="G23" s="23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3"/>
      <c r="B24" s="24"/>
      <c r="C24" s="23"/>
      <c r="D24" s="23"/>
      <c r="E24" s="23"/>
      <c r="F24" s="23"/>
      <c r="G24" s="23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3"/>
      <c r="B25" s="24"/>
      <c r="C25" s="23"/>
      <c r="D25" s="23"/>
      <c r="E25" s="23"/>
      <c r="F25" s="23"/>
      <c r="G25" s="23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3"/>
      <c r="B26" s="24"/>
      <c r="C26" s="23"/>
      <c r="D26" s="23"/>
      <c r="E26" s="23"/>
      <c r="F26" s="23"/>
      <c r="G26" s="23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3"/>
      <c r="B27" s="24"/>
      <c r="C27" s="23"/>
      <c r="D27" s="23"/>
      <c r="E27" s="23"/>
      <c r="F27" s="23"/>
      <c r="G27" s="23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3"/>
      <c r="B28" s="24"/>
      <c r="C28" s="23"/>
      <c r="D28" s="23"/>
      <c r="E28" s="23"/>
      <c r="F28" s="23"/>
      <c r="G28" s="23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3"/>
      <c r="B29" s="24"/>
      <c r="C29" s="23"/>
      <c r="D29" s="23"/>
      <c r="E29" s="23"/>
      <c r="F29" s="23"/>
      <c r="G29" s="23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3"/>
      <c r="B30" s="24"/>
      <c r="C30" s="23"/>
      <c r="D30" s="23"/>
      <c r="E30" s="23"/>
      <c r="F30" s="23"/>
      <c r="G30" s="23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3"/>
      <c r="B31" s="24"/>
      <c r="C31" s="23"/>
      <c r="D31" s="23"/>
      <c r="E31" s="23"/>
      <c r="F31" s="23"/>
      <c r="G31" s="23"/>
      <c r="H31" s="2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3"/>
      <c r="B32" s="24"/>
      <c r="C32" s="23"/>
      <c r="D32" s="23"/>
      <c r="E32" s="23"/>
      <c r="F32" s="23"/>
      <c r="G32" s="23"/>
      <c r="H32" s="2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3"/>
      <c r="B33" s="24"/>
      <c r="C33" s="23"/>
      <c r="D33" s="23"/>
      <c r="E33" s="23"/>
      <c r="F33" s="23"/>
      <c r="G33" s="23"/>
      <c r="H33" s="2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3"/>
      <c r="B34" s="24"/>
      <c r="C34" s="23"/>
      <c r="D34" s="23"/>
      <c r="E34" s="23"/>
      <c r="F34" s="23"/>
      <c r="G34" s="23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3"/>
      <c r="B35" s="24"/>
      <c r="C35" s="23"/>
      <c r="D35" s="23"/>
      <c r="E35" s="23"/>
      <c r="F35" s="23"/>
      <c r="G35" s="23"/>
      <c r="H35" s="2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3"/>
      <c r="B36" s="24"/>
      <c r="C36" s="23"/>
      <c r="D36" s="23"/>
      <c r="E36" s="23"/>
      <c r="F36" s="23"/>
      <c r="G36" s="23"/>
      <c r="H36" s="2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3"/>
      <c r="B37" s="24"/>
      <c r="C37" s="23"/>
      <c r="D37" s="23"/>
      <c r="E37" s="23"/>
      <c r="F37" s="23"/>
      <c r="G37" s="23"/>
      <c r="H37" s="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3"/>
      <c r="B38" s="24"/>
      <c r="C38" s="23"/>
      <c r="D38" s="23"/>
      <c r="E38" s="23"/>
      <c r="F38" s="23"/>
      <c r="G38" s="23"/>
      <c r="H38" s="2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3"/>
      <c r="B39" s="24"/>
      <c r="C39" s="23"/>
      <c r="D39" s="23"/>
      <c r="E39" s="23"/>
      <c r="F39" s="23"/>
      <c r="G39" s="23"/>
      <c r="H39" s="2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3"/>
      <c r="B40" s="24"/>
      <c r="C40" s="23"/>
      <c r="D40" s="23"/>
      <c r="E40" s="23"/>
      <c r="F40" s="23"/>
      <c r="G40" s="23"/>
      <c r="H40" s="2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3"/>
      <c r="B41" s="24"/>
      <c r="C41" s="23"/>
      <c r="D41" s="23"/>
      <c r="E41" s="23"/>
      <c r="F41" s="23"/>
      <c r="G41" s="23"/>
      <c r="H41" s="2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3"/>
      <c r="B42" s="24"/>
      <c r="C42" s="23"/>
      <c r="D42" s="23"/>
      <c r="E42" s="23"/>
      <c r="F42" s="23"/>
      <c r="G42" s="23"/>
      <c r="H42" s="2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3"/>
      <c r="B43" s="24"/>
      <c r="C43" s="23"/>
      <c r="D43" s="23"/>
      <c r="E43" s="23"/>
      <c r="F43" s="23"/>
      <c r="G43" s="23"/>
      <c r="H43" s="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3"/>
      <c r="B44" s="24"/>
      <c r="C44" s="23"/>
      <c r="D44" s="23"/>
      <c r="E44" s="23"/>
      <c r="F44" s="23"/>
      <c r="G44" s="23"/>
      <c r="H44" s="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3"/>
      <c r="B45" s="24"/>
      <c r="C45" s="23"/>
      <c r="D45" s="23"/>
      <c r="E45" s="23"/>
      <c r="F45" s="23"/>
      <c r="G45" s="23"/>
      <c r="H45" s="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3"/>
      <c r="B46" s="24"/>
      <c r="C46" s="23"/>
      <c r="D46" s="23"/>
      <c r="E46" s="23"/>
      <c r="F46" s="23"/>
      <c r="G46" s="23"/>
      <c r="H46" s="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3"/>
      <c r="B47" s="24"/>
      <c r="C47" s="23"/>
      <c r="D47" s="23"/>
      <c r="E47" s="23"/>
      <c r="F47" s="23"/>
      <c r="G47" s="23"/>
      <c r="H47" s="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3"/>
      <c r="B48" s="24"/>
      <c r="C48" s="23"/>
      <c r="D48" s="23"/>
      <c r="E48" s="23"/>
      <c r="F48" s="23"/>
      <c r="G48" s="23"/>
      <c r="H48" s="2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3"/>
      <c r="B49" s="24"/>
      <c r="C49" s="23"/>
      <c r="D49" s="23"/>
      <c r="E49" s="23"/>
      <c r="F49" s="23"/>
      <c r="G49" s="23"/>
      <c r="H49" s="2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3"/>
      <c r="B50" s="24"/>
      <c r="C50" s="23"/>
      <c r="D50" s="23"/>
      <c r="E50" s="23"/>
      <c r="F50" s="23"/>
      <c r="G50" s="23"/>
      <c r="H50" s="2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3"/>
      <c r="B51" s="24"/>
      <c r="C51" s="23"/>
      <c r="D51" s="23"/>
      <c r="E51" s="23"/>
      <c r="F51" s="23"/>
      <c r="G51" s="23"/>
      <c r="H51" s="2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3"/>
      <c r="B52" s="24"/>
      <c r="C52" s="23"/>
      <c r="D52" s="23"/>
      <c r="E52" s="23"/>
      <c r="F52" s="23"/>
      <c r="G52" s="23"/>
      <c r="H52" s="2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3"/>
      <c r="B53" s="24"/>
      <c r="C53" s="23"/>
      <c r="D53" s="23"/>
      <c r="E53" s="23"/>
      <c r="F53" s="23"/>
      <c r="G53" s="23"/>
      <c r="H53" s="2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3"/>
      <c r="B54" s="24"/>
      <c r="C54" s="23"/>
      <c r="D54" s="23"/>
      <c r="E54" s="23"/>
      <c r="F54" s="23"/>
      <c r="G54" s="23"/>
      <c r="H54" s="2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3"/>
      <c r="B55" s="24"/>
      <c r="C55" s="23"/>
      <c r="D55" s="23"/>
      <c r="E55" s="23"/>
      <c r="F55" s="23"/>
      <c r="G55" s="23"/>
      <c r="H55" s="25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3"/>
      <c r="B56" s="24"/>
      <c r="C56" s="23"/>
      <c r="D56" s="23"/>
      <c r="E56" s="23"/>
      <c r="F56" s="23"/>
      <c r="G56" s="23"/>
      <c r="H56" s="25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3"/>
      <c r="B57" s="24"/>
      <c r="C57" s="23"/>
      <c r="D57" s="23"/>
      <c r="E57" s="23"/>
      <c r="F57" s="23"/>
      <c r="G57" s="23"/>
      <c r="H57" s="25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3"/>
      <c r="B58" s="24"/>
      <c r="C58" s="23"/>
      <c r="D58" s="23"/>
      <c r="E58" s="23"/>
      <c r="F58" s="23"/>
      <c r="G58" s="23"/>
      <c r="H58" s="2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3"/>
      <c r="B59" s="24"/>
      <c r="C59" s="23"/>
      <c r="D59" s="23"/>
      <c r="E59" s="23"/>
      <c r="F59" s="23"/>
      <c r="G59" s="23"/>
      <c r="H59" s="2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3"/>
      <c r="B60" s="24"/>
      <c r="C60" s="23"/>
      <c r="D60" s="23"/>
      <c r="E60" s="23"/>
      <c r="F60" s="23"/>
      <c r="G60" s="23"/>
      <c r="H60" s="2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3"/>
      <c r="B61" s="24"/>
      <c r="C61" s="23"/>
      <c r="D61" s="23"/>
      <c r="E61" s="23"/>
      <c r="F61" s="23"/>
      <c r="G61" s="23"/>
      <c r="H61" s="2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3"/>
      <c r="B62" s="24"/>
      <c r="C62" s="23"/>
      <c r="D62" s="23"/>
      <c r="E62" s="23"/>
      <c r="F62" s="23"/>
      <c r="G62" s="23"/>
      <c r="H62" s="25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3"/>
      <c r="B63" s="24"/>
      <c r="C63" s="23"/>
      <c r="D63" s="23"/>
      <c r="E63" s="23"/>
      <c r="F63" s="23"/>
      <c r="G63" s="23"/>
      <c r="H63" s="25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3"/>
      <c r="B64" s="24"/>
      <c r="C64" s="23"/>
      <c r="D64" s="23"/>
      <c r="E64" s="23"/>
      <c r="F64" s="23"/>
      <c r="G64" s="23"/>
      <c r="H64" s="25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3"/>
      <c r="B65" s="24"/>
      <c r="C65" s="23"/>
      <c r="D65" s="23"/>
      <c r="E65" s="23"/>
      <c r="F65" s="23"/>
      <c r="G65" s="23"/>
      <c r="H65" s="2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3"/>
      <c r="B66" s="24"/>
      <c r="C66" s="23"/>
      <c r="D66" s="23"/>
      <c r="E66" s="23"/>
      <c r="F66" s="23"/>
      <c r="G66" s="23"/>
      <c r="H66" s="25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3"/>
      <c r="B67" s="24"/>
      <c r="C67" s="23"/>
      <c r="D67" s="23"/>
      <c r="E67" s="23"/>
      <c r="F67" s="23"/>
      <c r="G67" s="23"/>
      <c r="H67" s="25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3"/>
      <c r="B68" s="24"/>
      <c r="C68" s="23"/>
      <c r="D68" s="23"/>
      <c r="E68" s="23"/>
      <c r="F68" s="23"/>
      <c r="G68" s="23"/>
      <c r="H68" s="2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3"/>
      <c r="B69" s="24"/>
      <c r="C69" s="23"/>
      <c r="D69" s="23"/>
      <c r="E69" s="23"/>
      <c r="F69" s="23"/>
      <c r="G69" s="23"/>
      <c r="H69" s="2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3"/>
      <c r="B70" s="24"/>
      <c r="C70" s="23"/>
      <c r="D70" s="23"/>
      <c r="E70" s="23"/>
      <c r="F70" s="23"/>
      <c r="G70" s="23"/>
      <c r="H70" s="2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3"/>
      <c r="B71" s="24"/>
      <c r="C71" s="23"/>
      <c r="D71" s="23"/>
      <c r="E71" s="23"/>
      <c r="F71" s="23"/>
      <c r="G71" s="23"/>
      <c r="H71" s="2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3"/>
      <c r="B72" s="24"/>
      <c r="C72" s="23"/>
      <c r="D72" s="23"/>
      <c r="E72" s="23"/>
      <c r="F72" s="23"/>
      <c r="G72" s="23"/>
      <c r="H72" s="2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3"/>
      <c r="B73" s="24"/>
      <c r="C73" s="23"/>
      <c r="D73" s="23"/>
      <c r="E73" s="23"/>
      <c r="F73" s="23"/>
      <c r="G73" s="23"/>
      <c r="H73" s="2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3"/>
      <c r="B74" s="24"/>
      <c r="C74" s="23"/>
      <c r="D74" s="23"/>
      <c r="E74" s="23"/>
      <c r="F74" s="23"/>
      <c r="G74" s="23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3"/>
      <c r="B75" s="24"/>
      <c r="C75" s="23"/>
      <c r="D75" s="23"/>
      <c r="E75" s="23"/>
      <c r="F75" s="23"/>
      <c r="G75" s="23"/>
      <c r="H75" s="2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3"/>
      <c r="B76" s="24"/>
      <c r="C76" s="23"/>
      <c r="D76" s="23"/>
      <c r="E76" s="23"/>
      <c r="F76" s="23"/>
      <c r="G76" s="23"/>
      <c r="H76" s="2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3"/>
      <c r="B77" s="24"/>
      <c r="C77" s="23"/>
      <c r="D77" s="23"/>
      <c r="E77" s="23"/>
      <c r="F77" s="23"/>
      <c r="G77" s="23"/>
      <c r="H77" s="2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3"/>
      <c r="B78" s="24"/>
      <c r="C78" s="23"/>
      <c r="D78" s="23"/>
      <c r="E78" s="23"/>
      <c r="F78" s="23"/>
      <c r="G78" s="23"/>
      <c r="H78" s="2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3"/>
      <c r="B79" s="24"/>
      <c r="C79" s="23"/>
      <c r="D79" s="23"/>
      <c r="E79" s="23"/>
      <c r="F79" s="23"/>
      <c r="G79" s="23"/>
      <c r="H79" s="2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3"/>
      <c r="B80" s="24"/>
      <c r="C80" s="23"/>
      <c r="D80" s="23"/>
      <c r="E80" s="23"/>
      <c r="F80" s="23"/>
      <c r="G80" s="23"/>
      <c r="H80" s="2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3"/>
      <c r="B81" s="24"/>
      <c r="C81" s="23"/>
      <c r="D81" s="23"/>
      <c r="E81" s="23"/>
      <c r="F81" s="23"/>
      <c r="G81" s="23"/>
      <c r="H81" s="2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3"/>
      <c r="B82" s="24"/>
      <c r="C82" s="23"/>
      <c r="D82" s="23"/>
      <c r="E82" s="23"/>
      <c r="F82" s="23"/>
      <c r="G82" s="23"/>
      <c r="H82" s="2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3"/>
      <c r="B83" s="24"/>
      <c r="C83" s="23"/>
      <c r="D83" s="23"/>
      <c r="E83" s="23"/>
      <c r="F83" s="23"/>
      <c r="G83" s="23"/>
      <c r="H83" s="2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3"/>
      <c r="B84" s="24"/>
      <c r="C84" s="23"/>
      <c r="D84" s="23"/>
      <c r="E84" s="23"/>
      <c r="F84" s="23"/>
      <c r="G84" s="23"/>
      <c r="H84" s="2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3"/>
      <c r="B85" s="24"/>
      <c r="C85" s="23"/>
      <c r="D85" s="23"/>
      <c r="E85" s="23"/>
      <c r="F85" s="23"/>
      <c r="G85" s="23"/>
      <c r="H85" s="2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3"/>
      <c r="B86" s="24"/>
      <c r="C86" s="23"/>
      <c r="D86" s="23"/>
      <c r="E86" s="23"/>
      <c r="F86" s="23"/>
      <c r="G86" s="23"/>
      <c r="H86" s="2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3"/>
      <c r="B87" s="24"/>
      <c r="C87" s="23"/>
      <c r="D87" s="23"/>
      <c r="E87" s="23"/>
      <c r="F87" s="23"/>
      <c r="G87" s="23"/>
      <c r="H87" s="2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3"/>
      <c r="B88" s="24"/>
      <c r="C88" s="23"/>
      <c r="D88" s="23"/>
      <c r="E88" s="23"/>
      <c r="F88" s="23"/>
      <c r="G88" s="23"/>
      <c r="H88" s="2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3"/>
      <c r="B89" s="24"/>
      <c r="C89" s="23"/>
      <c r="D89" s="23"/>
      <c r="E89" s="23"/>
      <c r="F89" s="23"/>
      <c r="G89" s="23"/>
      <c r="H89" s="2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3"/>
      <c r="B90" s="24"/>
      <c r="C90" s="23"/>
      <c r="D90" s="23"/>
      <c r="E90" s="23"/>
      <c r="F90" s="23"/>
      <c r="G90" s="23"/>
      <c r="H90" s="2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3"/>
      <c r="B91" s="24"/>
      <c r="C91" s="23"/>
      <c r="D91" s="23"/>
      <c r="E91" s="23"/>
      <c r="F91" s="23"/>
      <c r="G91" s="23"/>
      <c r="H91" s="2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3"/>
      <c r="B92" s="24"/>
      <c r="C92" s="23"/>
      <c r="D92" s="23"/>
      <c r="E92" s="23"/>
      <c r="F92" s="23"/>
      <c r="G92" s="23"/>
      <c r="H92" s="2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3"/>
      <c r="B93" s="24"/>
      <c r="C93" s="23"/>
      <c r="D93" s="23"/>
      <c r="E93" s="23"/>
      <c r="F93" s="23"/>
      <c r="G93" s="23"/>
      <c r="H93" s="2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3"/>
      <c r="B94" s="24"/>
      <c r="C94" s="23"/>
      <c r="D94" s="23"/>
      <c r="E94" s="23"/>
      <c r="F94" s="23"/>
      <c r="G94" s="23"/>
      <c r="H94" s="2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3"/>
      <c r="B95" s="24"/>
      <c r="C95" s="23"/>
      <c r="D95" s="23"/>
      <c r="E95" s="23"/>
      <c r="F95" s="23"/>
      <c r="G95" s="23"/>
      <c r="H95" s="2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3"/>
      <c r="B96" s="24"/>
      <c r="C96" s="23"/>
      <c r="D96" s="23"/>
      <c r="E96" s="23"/>
      <c r="F96" s="23"/>
      <c r="G96" s="23"/>
      <c r="H96" s="2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3"/>
      <c r="B97" s="24"/>
      <c r="C97" s="23"/>
      <c r="D97" s="23"/>
      <c r="E97" s="23"/>
      <c r="F97" s="23"/>
      <c r="G97" s="23"/>
      <c r="H97" s="2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3"/>
      <c r="B98" s="24"/>
      <c r="C98" s="23"/>
      <c r="D98" s="23"/>
      <c r="E98" s="23"/>
      <c r="F98" s="23"/>
      <c r="G98" s="23"/>
      <c r="H98" s="2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3"/>
      <c r="B99" s="24"/>
      <c r="C99" s="23"/>
      <c r="D99" s="23"/>
      <c r="E99" s="23"/>
      <c r="F99" s="23"/>
      <c r="G99" s="23"/>
      <c r="H99" s="2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3"/>
      <c r="B100" s="24"/>
      <c r="C100" s="23"/>
      <c r="D100" s="23"/>
      <c r="E100" s="23"/>
      <c r="F100" s="23"/>
      <c r="G100" s="23"/>
      <c r="H100" s="2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3"/>
      <c r="B101" s="24"/>
      <c r="C101" s="23"/>
      <c r="D101" s="23"/>
      <c r="E101" s="23"/>
      <c r="F101" s="23"/>
      <c r="G101" s="23"/>
      <c r="H101" s="2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3"/>
      <c r="B102" s="24"/>
      <c r="C102" s="23"/>
      <c r="D102" s="23"/>
      <c r="E102" s="23"/>
      <c r="F102" s="23"/>
      <c r="G102" s="23"/>
      <c r="H102" s="2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3"/>
      <c r="B103" s="24"/>
      <c r="C103" s="23"/>
      <c r="D103" s="23"/>
      <c r="E103" s="23"/>
      <c r="F103" s="23"/>
      <c r="G103" s="23"/>
      <c r="H103" s="2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3"/>
      <c r="B104" s="24"/>
      <c r="C104" s="23"/>
      <c r="D104" s="23"/>
      <c r="E104" s="23"/>
      <c r="F104" s="23"/>
      <c r="G104" s="23"/>
      <c r="H104" s="2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3"/>
      <c r="B105" s="24"/>
      <c r="C105" s="23"/>
      <c r="D105" s="23"/>
      <c r="E105" s="23"/>
      <c r="F105" s="23"/>
      <c r="G105" s="23"/>
      <c r="H105" s="2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3"/>
      <c r="B106" s="24"/>
      <c r="C106" s="23"/>
      <c r="D106" s="23"/>
      <c r="E106" s="23"/>
      <c r="F106" s="23"/>
      <c r="G106" s="23"/>
      <c r="H106" s="2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3"/>
      <c r="B107" s="24"/>
      <c r="C107" s="23"/>
      <c r="D107" s="23"/>
      <c r="E107" s="23"/>
      <c r="F107" s="23"/>
      <c r="G107" s="23"/>
      <c r="H107" s="2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3"/>
      <c r="B108" s="24"/>
      <c r="C108" s="23"/>
      <c r="D108" s="23"/>
      <c r="E108" s="23"/>
      <c r="F108" s="23"/>
      <c r="G108" s="23"/>
      <c r="H108" s="2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3"/>
      <c r="B109" s="24"/>
      <c r="C109" s="23"/>
      <c r="D109" s="23"/>
      <c r="E109" s="23"/>
      <c r="F109" s="23"/>
      <c r="G109" s="23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3"/>
      <c r="B110" s="24"/>
      <c r="C110" s="23"/>
      <c r="D110" s="23"/>
      <c r="E110" s="23"/>
      <c r="F110" s="23"/>
      <c r="G110" s="23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3"/>
      <c r="B111" s="24"/>
      <c r="C111" s="23"/>
      <c r="D111" s="23"/>
      <c r="E111" s="23"/>
      <c r="F111" s="23"/>
      <c r="G111" s="23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3"/>
      <c r="B112" s="24"/>
      <c r="C112" s="23"/>
      <c r="D112" s="23"/>
      <c r="E112" s="23"/>
      <c r="F112" s="23"/>
      <c r="G112" s="23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3"/>
      <c r="B113" s="24"/>
      <c r="C113" s="23"/>
      <c r="D113" s="23"/>
      <c r="E113" s="23"/>
      <c r="F113" s="23"/>
      <c r="G113" s="23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3"/>
      <c r="B114" s="24"/>
      <c r="C114" s="23"/>
      <c r="D114" s="23"/>
      <c r="E114" s="23"/>
      <c r="F114" s="23"/>
      <c r="G114" s="23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3"/>
      <c r="B115" s="24"/>
      <c r="C115" s="23"/>
      <c r="D115" s="23"/>
      <c r="E115" s="23"/>
      <c r="F115" s="23"/>
      <c r="G115" s="23"/>
      <c r="H115" s="2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3"/>
      <c r="B116" s="24"/>
      <c r="C116" s="23"/>
      <c r="D116" s="23"/>
      <c r="E116" s="23"/>
      <c r="F116" s="23"/>
      <c r="G116" s="23"/>
      <c r="H116" s="2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3"/>
      <c r="B117" s="24"/>
      <c r="C117" s="23"/>
      <c r="D117" s="23"/>
      <c r="E117" s="23"/>
      <c r="F117" s="23"/>
      <c r="G117" s="23"/>
      <c r="H117" s="2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3"/>
      <c r="B118" s="24"/>
      <c r="C118" s="23"/>
      <c r="D118" s="23"/>
      <c r="E118" s="23"/>
      <c r="F118" s="23"/>
      <c r="G118" s="23"/>
      <c r="H118" s="2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3"/>
      <c r="B119" s="24"/>
      <c r="C119" s="23"/>
      <c r="D119" s="23"/>
      <c r="E119" s="23"/>
      <c r="F119" s="23"/>
      <c r="G119" s="23"/>
      <c r="H119" s="2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3"/>
      <c r="B120" s="24"/>
      <c r="C120" s="23"/>
      <c r="D120" s="23"/>
      <c r="E120" s="23"/>
      <c r="F120" s="23"/>
      <c r="G120" s="23"/>
      <c r="H120" s="2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3"/>
      <c r="B121" s="24"/>
      <c r="C121" s="23"/>
      <c r="D121" s="23"/>
      <c r="E121" s="23"/>
      <c r="F121" s="23"/>
      <c r="G121" s="23"/>
      <c r="H121" s="2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3"/>
      <c r="B122" s="24"/>
      <c r="C122" s="23"/>
      <c r="D122" s="23"/>
      <c r="E122" s="23"/>
      <c r="F122" s="23"/>
      <c r="G122" s="23"/>
      <c r="H122" s="2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3"/>
      <c r="B123" s="24"/>
      <c r="C123" s="23"/>
      <c r="D123" s="23"/>
      <c r="E123" s="23"/>
      <c r="F123" s="23"/>
      <c r="G123" s="23"/>
      <c r="H123" s="2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3"/>
      <c r="B124" s="24"/>
      <c r="C124" s="23"/>
      <c r="D124" s="23"/>
      <c r="E124" s="23"/>
      <c r="F124" s="23"/>
      <c r="G124" s="23"/>
      <c r="H124" s="2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3"/>
      <c r="B125" s="24"/>
      <c r="C125" s="23"/>
      <c r="D125" s="23"/>
      <c r="E125" s="23"/>
      <c r="F125" s="23"/>
      <c r="G125" s="23"/>
      <c r="H125" s="2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3"/>
      <c r="B126" s="24"/>
      <c r="C126" s="23"/>
      <c r="D126" s="23"/>
      <c r="E126" s="23"/>
      <c r="F126" s="23"/>
      <c r="G126" s="23"/>
      <c r="H126" s="2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3"/>
      <c r="B127" s="24"/>
      <c r="C127" s="23"/>
      <c r="D127" s="23"/>
      <c r="E127" s="23"/>
      <c r="F127" s="23"/>
      <c r="G127" s="23"/>
      <c r="H127" s="2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3"/>
      <c r="B128" s="24"/>
      <c r="C128" s="23"/>
      <c r="D128" s="23"/>
      <c r="E128" s="23"/>
      <c r="F128" s="23"/>
      <c r="G128" s="23"/>
      <c r="H128" s="2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3"/>
      <c r="B129" s="24"/>
      <c r="C129" s="23"/>
      <c r="D129" s="23"/>
      <c r="E129" s="23"/>
      <c r="F129" s="23"/>
      <c r="G129" s="23"/>
      <c r="H129" s="2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3"/>
      <c r="B130" s="24"/>
      <c r="C130" s="23"/>
      <c r="D130" s="23"/>
      <c r="E130" s="23"/>
      <c r="F130" s="23"/>
      <c r="G130" s="23"/>
      <c r="H130" s="2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3"/>
      <c r="B131" s="24"/>
      <c r="C131" s="23"/>
      <c r="D131" s="23"/>
      <c r="E131" s="23"/>
      <c r="F131" s="23"/>
      <c r="G131" s="23"/>
      <c r="H131" s="2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3"/>
      <c r="B132" s="24"/>
      <c r="C132" s="23"/>
      <c r="D132" s="23"/>
      <c r="E132" s="23"/>
      <c r="F132" s="23"/>
      <c r="G132" s="23"/>
      <c r="H132" s="2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3"/>
      <c r="B133" s="24"/>
      <c r="C133" s="23"/>
      <c r="D133" s="23"/>
      <c r="E133" s="23"/>
      <c r="F133" s="23"/>
      <c r="G133" s="23"/>
      <c r="H133" s="2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3"/>
      <c r="B134" s="24"/>
      <c r="C134" s="23"/>
      <c r="D134" s="23"/>
      <c r="E134" s="23"/>
      <c r="F134" s="23"/>
      <c r="G134" s="23"/>
      <c r="H134" s="2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3"/>
      <c r="B135" s="24"/>
      <c r="C135" s="23"/>
      <c r="D135" s="23"/>
      <c r="E135" s="23"/>
      <c r="F135" s="23"/>
      <c r="G135" s="23"/>
      <c r="H135" s="2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3"/>
      <c r="B136" s="24"/>
      <c r="C136" s="23"/>
      <c r="D136" s="23"/>
      <c r="E136" s="23"/>
      <c r="F136" s="23"/>
      <c r="G136" s="23"/>
      <c r="H136" s="2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3"/>
      <c r="B137" s="24"/>
      <c r="C137" s="23"/>
      <c r="D137" s="23"/>
      <c r="E137" s="23"/>
      <c r="F137" s="23"/>
      <c r="G137" s="23"/>
      <c r="H137" s="2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3"/>
      <c r="B138" s="24"/>
      <c r="C138" s="23"/>
      <c r="D138" s="23"/>
      <c r="E138" s="23"/>
      <c r="F138" s="23"/>
      <c r="G138" s="23"/>
      <c r="H138" s="2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3"/>
      <c r="B139" s="24"/>
      <c r="C139" s="23"/>
      <c r="D139" s="23"/>
      <c r="E139" s="23"/>
      <c r="F139" s="23"/>
      <c r="G139" s="23"/>
      <c r="H139" s="2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3"/>
      <c r="B140" s="24"/>
      <c r="C140" s="23"/>
      <c r="D140" s="23"/>
      <c r="E140" s="23"/>
      <c r="F140" s="23"/>
      <c r="G140" s="23"/>
      <c r="H140" s="2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3"/>
      <c r="B141" s="24"/>
      <c r="C141" s="23"/>
      <c r="D141" s="23"/>
      <c r="E141" s="23"/>
      <c r="F141" s="23"/>
      <c r="G141" s="23"/>
      <c r="H141" s="25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3"/>
      <c r="B142" s="24"/>
      <c r="C142" s="23"/>
      <c r="D142" s="23"/>
      <c r="E142" s="23"/>
      <c r="F142" s="23"/>
      <c r="G142" s="23"/>
      <c r="H142" s="25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3"/>
      <c r="B143" s="24"/>
      <c r="C143" s="23"/>
      <c r="D143" s="23"/>
      <c r="E143" s="23"/>
      <c r="F143" s="23"/>
      <c r="G143" s="23"/>
      <c r="H143" s="25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3"/>
      <c r="B144" s="24"/>
      <c r="C144" s="23"/>
      <c r="D144" s="23"/>
      <c r="E144" s="23"/>
      <c r="F144" s="23"/>
      <c r="G144" s="23"/>
      <c r="H144" s="25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3"/>
      <c r="B145" s="24"/>
      <c r="C145" s="23"/>
      <c r="D145" s="23"/>
      <c r="E145" s="23"/>
      <c r="F145" s="23"/>
      <c r="G145" s="23"/>
      <c r="H145" s="25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3"/>
      <c r="B146" s="24"/>
      <c r="C146" s="23"/>
      <c r="D146" s="23"/>
      <c r="E146" s="23"/>
      <c r="F146" s="23"/>
      <c r="G146" s="23"/>
      <c r="H146" s="25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3"/>
      <c r="B147" s="24"/>
      <c r="C147" s="23"/>
      <c r="D147" s="23"/>
      <c r="E147" s="23"/>
      <c r="F147" s="23"/>
      <c r="G147" s="23"/>
      <c r="H147" s="25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3"/>
      <c r="B148" s="24"/>
      <c r="C148" s="23"/>
      <c r="D148" s="23"/>
      <c r="E148" s="23"/>
      <c r="F148" s="23"/>
      <c r="G148" s="23"/>
      <c r="H148" s="25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3"/>
      <c r="B149" s="24"/>
      <c r="C149" s="23"/>
      <c r="D149" s="23"/>
      <c r="E149" s="23"/>
      <c r="F149" s="23"/>
      <c r="G149" s="23"/>
      <c r="H149" s="25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3"/>
      <c r="B150" s="24"/>
      <c r="C150" s="23"/>
      <c r="D150" s="23"/>
      <c r="E150" s="23"/>
      <c r="F150" s="23"/>
      <c r="G150" s="23"/>
      <c r="H150" s="25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3"/>
      <c r="B151" s="24"/>
      <c r="C151" s="23"/>
      <c r="D151" s="23"/>
      <c r="E151" s="23"/>
      <c r="F151" s="23"/>
      <c r="G151" s="23"/>
      <c r="H151" s="25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3"/>
      <c r="B152" s="24"/>
      <c r="C152" s="23"/>
      <c r="D152" s="23"/>
      <c r="E152" s="23"/>
      <c r="F152" s="23"/>
      <c r="G152" s="23"/>
      <c r="H152" s="25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3"/>
      <c r="B153" s="24"/>
      <c r="C153" s="23"/>
      <c r="D153" s="23"/>
      <c r="E153" s="23"/>
      <c r="F153" s="23"/>
      <c r="G153" s="23"/>
      <c r="H153" s="25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3"/>
      <c r="B154" s="24"/>
      <c r="C154" s="23"/>
      <c r="D154" s="23"/>
      <c r="E154" s="23"/>
      <c r="F154" s="23"/>
      <c r="G154" s="23"/>
      <c r="H154" s="25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3"/>
      <c r="B155" s="24"/>
      <c r="C155" s="23"/>
      <c r="D155" s="23"/>
      <c r="E155" s="23"/>
      <c r="F155" s="23"/>
      <c r="G155" s="23"/>
      <c r="H155" s="25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3"/>
      <c r="B156" s="24"/>
      <c r="C156" s="23"/>
      <c r="D156" s="23"/>
      <c r="E156" s="23"/>
      <c r="F156" s="23"/>
      <c r="G156" s="23"/>
      <c r="H156" s="25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3"/>
      <c r="B157" s="24"/>
      <c r="C157" s="23"/>
      <c r="D157" s="23"/>
      <c r="E157" s="23"/>
      <c r="F157" s="23"/>
      <c r="G157" s="23"/>
      <c r="H157" s="25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3"/>
      <c r="B158" s="24"/>
      <c r="C158" s="23"/>
      <c r="D158" s="23"/>
      <c r="E158" s="23"/>
      <c r="F158" s="23"/>
      <c r="G158" s="23"/>
      <c r="H158" s="25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3"/>
      <c r="B159" s="24"/>
      <c r="C159" s="23"/>
      <c r="D159" s="23"/>
      <c r="E159" s="23"/>
      <c r="F159" s="23"/>
      <c r="G159" s="23"/>
      <c r="H159" s="25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3"/>
      <c r="B160" s="24"/>
      <c r="C160" s="23"/>
      <c r="D160" s="23"/>
      <c r="E160" s="23"/>
      <c r="F160" s="23"/>
      <c r="G160" s="23"/>
      <c r="H160" s="25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3"/>
      <c r="B161" s="24"/>
      <c r="C161" s="23"/>
      <c r="D161" s="23"/>
      <c r="E161" s="23"/>
      <c r="F161" s="23"/>
      <c r="G161" s="23"/>
      <c r="H161" s="25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3"/>
      <c r="B162" s="24"/>
      <c r="C162" s="23"/>
      <c r="D162" s="23"/>
      <c r="E162" s="23"/>
      <c r="F162" s="23"/>
      <c r="G162" s="23"/>
      <c r="H162" s="25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3"/>
      <c r="B163" s="24"/>
      <c r="C163" s="23"/>
      <c r="D163" s="23"/>
      <c r="E163" s="23"/>
      <c r="F163" s="23"/>
      <c r="G163" s="23"/>
      <c r="H163" s="25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3"/>
      <c r="B164" s="24"/>
      <c r="C164" s="23"/>
      <c r="D164" s="23"/>
      <c r="E164" s="23"/>
      <c r="F164" s="23"/>
      <c r="G164" s="23"/>
      <c r="H164" s="25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3"/>
      <c r="B165" s="24"/>
      <c r="C165" s="23"/>
      <c r="D165" s="23"/>
      <c r="E165" s="23"/>
      <c r="F165" s="23"/>
      <c r="G165" s="23"/>
      <c r="H165" s="25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3"/>
      <c r="B166" s="24"/>
      <c r="C166" s="23"/>
      <c r="D166" s="23"/>
      <c r="E166" s="23"/>
      <c r="F166" s="23"/>
      <c r="G166" s="23"/>
      <c r="H166" s="25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3"/>
      <c r="B167" s="24"/>
      <c r="C167" s="23"/>
      <c r="D167" s="23"/>
      <c r="E167" s="23"/>
      <c r="F167" s="23"/>
      <c r="G167" s="23"/>
      <c r="H167" s="25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3"/>
      <c r="B168" s="24"/>
      <c r="C168" s="23"/>
      <c r="D168" s="23"/>
      <c r="E168" s="23"/>
      <c r="F168" s="23"/>
      <c r="G168" s="23"/>
      <c r="H168" s="25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3"/>
      <c r="B169" s="24"/>
      <c r="C169" s="23"/>
      <c r="D169" s="23"/>
      <c r="E169" s="23"/>
      <c r="F169" s="23"/>
      <c r="G169" s="23"/>
      <c r="H169" s="25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3"/>
      <c r="B170" s="24"/>
      <c r="C170" s="23"/>
      <c r="D170" s="23"/>
      <c r="E170" s="23"/>
      <c r="F170" s="23"/>
      <c r="G170" s="23"/>
      <c r="H170" s="25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3"/>
      <c r="B171" s="24"/>
      <c r="C171" s="23"/>
      <c r="D171" s="23"/>
      <c r="E171" s="23"/>
      <c r="F171" s="23"/>
      <c r="G171" s="23"/>
      <c r="H171" s="25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3"/>
      <c r="B172" s="24"/>
      <c r="C172" s="23"/>
      <c r="D172" s="23"/>
      <c r="E172" s="23"/>
      <c r="F172" s="23"/>
      <c r="G172" s="23"/>
      <c r="H172" s="25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3"/>
      <c r="B173" s="24"/>
      <c r="C173" s="23"/>
      <c r="D173" s="23"/>
      <c r="E173" s="23"/>
      <c r="F173" s="23"/>
      <c r="G173" s="23"/>
      <c r="H173" s="25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3"/>
      <c r="B174" s="24"/>
      <c r="C174" s="23"/>
      <c r="D174" s="23"/>
      <c r="E174" s="23"/>
      <c r="F174" s="23"/>
      <c r="G174" s="23"/>
      <c r="H174" s="25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3"/>
      <c r="B175" s="24"/>
      <c r="C175" s="23"/>
      <c r="D175" s="23"/>
      <c r="E175" s="23"/>
      <c r="F175" s="23"/>
      <c r="G175" s="23"/>
      <c r="H175" s="25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3"/>
      <c r="B176" s="24"/>
      <c r="C176" s="23"/>
      <c r="D176" s="23"/>
      <c r="E176" s="23"/>
      <c r="F176" s="23"/>
      <c r="G176" s="23"/>
      <c r="H176" s="25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3"/>
      <c r="B177" s="24"/>
      <c r="C177" s="23"/>
      <c r="D177" s="23"/>
      <c r="E177" s="23"/>
      <c r="F177" s="23"/>
      <c r="G177" s="23"/>
      <c r="H177" s="25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3"/>
      <c r="B178" s="24"/>
      <c r="C178" s="23"/>
      <c r="D178" s="23"/>
      <c r="E178" s="23"/>
      <c r="F178" s="23"/>
      <c r="G178" s="23"/>
      <c r="H178" s="25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3"/>
      <c r="B179" s="24"/>
      <c r="C179" s="23"/>
      <c r="D179" s="23"/>
      <c r="E179" s="23"/>
      <c r="F179" s="23"/>
      <c r="G179" s="23"/>
      <c r="H179" s="25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3"/>
      <c r="B180" s="24"/>
      <c r="C180" s="23"/>
      <c r="D180" s="23"/>
      <c r="E180" s="23"/>
      <c r="F180" s="23"/>
      <c r="G180" s="23"/>
      <c r="H180" s="25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3"/>
      <c r="B181" s="24"/>
      <c r="C181" s="23"/>
      <c r="D181" s="23"/>
      <c r="E181" s="23"/>
      <c r="F181" s="23"/>
      <c r="G181" s="23"/>
      <c r="H181" s="25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3"/>
      <c r="B182" s="24"/>
      <c r="C182" s="23"/>
      <c r="D182" s="23"/>
      <c r="E182" s="23"/>
      <c r="F182" s="23"/>
      <c r="G182" s="23"/>
      <c r="H182" s="25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3"/>
      <c r="B183" s="24"/>
      <c r="C183" s="23"/>
      <c r="D183" s="23"/>
      <c r="E183" s="23"/>
      <c r="F183" s="23"/>
      <c r="G183" s="23"/>
      <c r="H183" s="25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3"/>
      <c r="B184" s="24"/>
      <c r="C184" s="23"/>
      <c r="D184" s="23"/>
      <c r="E184" s="23"/>
      <c r="F184" s="23"/>
      <c r="G184" s="23"/>
      <c r="H184" s="25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23"/>
      <c r="B185" s="24"/>
      <c r="C185" s="23"/>
      <c r="D185" s="23"/>
      <c r="E185" s="23"/>
      <c r="F185" s="23"/>
      <c r="G185" s="23"/>
      <c r="H185" s="25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23"/>
      <c r="B186" s="24"/>
      <c r="C186" s="23"/>
      <c r="D186" s="23"/>
      <c r="E186" s="23"/>
      <c r="F186" s="23"/>
      <c r="G186" s="23"/>
      <c r="H186" s="2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23"/>
      <c r="B187" s="24"/>
      <c r="C187" s="23"/>
      <c r="D187" s="23"/>
      <c r="E187" s="23"/>
      <c r="F187" s="23"/>
      <c r="G187" s="23"/>
      <c r="H187" s="2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23"/>
      <c r="B188" s="24"/>
      <c r="C188" s="23"/>
      <c r="D188" s="23"/>
      <c r="E188" s="23"/>
      <c r="F188" s="23"/>
      <c r="G188" s="23"/>
      <c r="H188" s="2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23"/>
      <c r="B189" s="24"/>
      <c r="C189" s="23"/>
      <c r="D189" s="23"/>
      <c r="E189" s="23"/>
      <c r="F189" s="23"/>
      <c r="G189" s="23"/>
      <c r="H189" s="2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23"/>
      <c r="B190" s="24"/>
      <c r="C190" s="23"/>
      <c r="D190" s="23"/>
      <c r="E190" s="23"/>
      <c r="F190" s="23"/>
      <c r="G190" s="23"/>
      <c r="H190" s="2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23"/>
      <c r="B191" s="24"/>
      <c r="C191" s="23"/>
      <c r="D191" s="23"/>
      <c r="E191" s="23"/>
      <c r="F191" s="23"/>
      <c r="G191" s="23"/>
      <c r="H191" s="25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23"/>
      <c r="B192" s="24"/>
      <c r="C192" s="23"/>
      <c r="D192" s="23"/>
      <c r="E192" s="23"/>
      <c r="F192" s="23"/>
      <c r="G192" s="23"/>
      <c r="H192" s="25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23"/>
      <c r="B193" s="24"/>
      <c r="C193" s="23"/>
      <c r="D193" s="23"/>
      <c r="E193" s="23"/>
      <c r="F193" s="23"/>
      <c r="G193" s="23"/>
      <c r="H193" s="25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23"/>
      <c r="B194" s="24"/>
      <c r="C194" s="23"/>
      <c r="D194" s="23"/>
      <c r="E194" s="23"/>
      <c r="F194" s="23"/>
      <c r="G194" s="23"/>
      <c r="H194" s="25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23"/>
      <c r="B195" s="24"/>
      <c r="C195" s="23"/>
      <c r="D195" s="23"/>
      <c r="E195" s="23"/>
      <c r="F195" s="23"/>
      <c r="G195" s="23"/>
      <c r="H195" s="25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23"/>
      <c r="B196" s="24"/>
      <c r="C196" s="23"/>
      <c r="D196" s="23"/>
      <c r="E196" s="23"/>
      <c r="F196" s="23"/>
      <c r="G196" s="23"/>
      <c r="H196" s="25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23"/>
      <c r="B197" s="24"/>
      <c r="C197" s="23"/>
      <c r="D197" s="23"/>
      <c r="E197" s="23"/>
      <c r="F197" s="23"/>
      <c r="G197" s="23"/>
      <c r="H197" s="25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23"/>
      <c r="B198" s="24"/>
      <c r="C198" s="23"/>
      <c r="D198" s="23"/>
      <c r="E198" s="23"/>
      <c r="F198" s="23"/>
      <c r="G198" s="23"/>
      <c r="H198" s="25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23"/>
      <c r="B199" s="24"/>
      <c r="C199" s="23"/>
      <c r="D199" s="23"/>
      <c r="E199" s="23"/>
      <c r="F199" s="23"/>
      <c r="G199" s="23"/>
      <c r="H199" s="25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23"/>
      <c r="B200" s="24"/>
      <c r="C200" s="23"/>
      <c r="D200" s="23"/>
      <c r="E200" s="23"/>
      <c r="F200" s="23"/>
      <c r="G200" s="23"/>
      <c r="H200" s="25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23"/>
      <c r="B201" s="24"/>
      <c r="C201" s="23"/>
      <c r="D201" s="23"/>
      <c r="E201" s="23"/>
      <c r="F201" s="23"/>
      <c r="G201" s="23"/>
      <c r="H201" s="25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23"/>
      <c r="B202" s="24"/>
      <c r="C202" s="23"/>
      <c r="D202" s="23"/>
      <c r="E202" s="23"/>
      <c r="F202" s="23"/>
      <c r="G202" s="23"/>
      <c r="H202" s="25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23"/>
      <c r="B203" s="24"/>
      <c r="C203" s="23"/>
      <c r="D203" s="23"/>
      <c r="E203" s="23"/>
      <c r="F203" s="23"/>
      <c r="G203" s="23"/>
      <c r="H203" s="25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23"/>
      <c r="B204" s="24"/>
      <c r="C204" s="23"/>
      <c r="D204" s="23"/>
      <c r="E204" s="23"/>
      <c r="F204" s="23"/>
      <c r="G204" s="23"/>
      <c r="H204" s="25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23"/>
      <c r="B205" s="24"/>
      <c r="C205" s="23"/>
      <c r="D205" s="23"/>
      <c r="E205" s="23"/>
      <c r="F205" s="23"/>
      <c r="G205" s="23"/>
      <c r="H205" s="25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23"/>
      <c r="B206" s="24"/>
      <c r="C206" s="23"/>
      <c r="D206" s="23"/>
      <c r="E206" s="23"/>
      <c r="F206" s="23"/>
      <c r="G206" s="23"/>
      <c r="H206" s="25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23"/>
      <c r="B207" s="24"/>
      <c r="C207" s="23"/>
      <c r="D207" s="23"/>
      <c r="E207" s="23"/>
      <c r="F207" s="23"/>
      <c r="G207" s="23"/>
      <c r="H207" s="25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23"/>
      <c r="B208" s="24"/>
      <c r="C208" s="23"/>
      <c r="D208" s="23"/>
      <c r="E208" s="23"/>
      <c r="F208" s="23"/>
      <c r="G208" s="23"/>
      <c r="H208" s="25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23"/>
      <c r="B209" s="24"/>
      <c r="C209" s="23"/>
      <c r="D209" s="23"/>
      <c r="E209" s="23"/>
      <c r="F209" s="23"/>
      <c r="G209" s="23"/>
      <c r="H209" s="25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23"/>
      <c r="B210" s="24"/>
      <c r="C210" s="23"/>
      <c r="D210" s="23"/>
      <c r="E210" s="23"/>
      <c r="F210" s="23"/>
      <c r="G210" s="23"/>
      <c r="H210" s="25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23"/>
      <c r="B211" s="24"/>
      <c r="C211" s="23"/>
      <c r="D211" s="23"/>
      <c r="E211" s="23"/>
      <c r="F211" s="23"/>
      <c r="G211" s="23"/>
      <c r="H211" s="25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23"/>
      <c r="B212" s="24"/>
      <c r="C212" s="23"/>
      <c r="D212" s="23"/>
      <c r="E212" s="23"/>
      <c r="F212" s="23"/>
      <c r="G212" s="23"/>
      <c r="H212" s="25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23"/>
      <c r="B213" s="24"/>
      <c r="C213" s="23"/>
      <c r="D213" s="23"/>
      <c r="E213" s="23"/>
      <c r="F213" s="23"/>
      <c r="G213" s="23"/>
      <c r="H213" s="25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23"/>
      <c r="B214" s="24"/>
      <c r="C214" s="23"/>
      <c r="D214" s="23"/>
      <c r="E214" s="23"/>
      <c r="F214" s="23"/>
      <c r="G214" s="23"/>
      <c r="H214" s="25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23"/>
      <c r="B215" s="24"/>
      <c r="C215" s="23"/>
      <c r="D215" s="23"/>
      <c r="E215" s="23"/>
      <c r="F215" s="23"/>
      <c r="G215" s="23"/>
      <c r="H215" s="25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23"/>
      <c r="B216" s="24"/>
      <c r="C216" s="23"/>
      <c r="D216" s="23"/>
      <c r="E216" s="23"/>
      <c r="F216" s="23"/>
      <c r="G216" s="23"/>
      <c r="H216" s="25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23"/>
      <c r="B217" s="24"/>
      <c r="C217" s="23"/>
      <c r="D217" s="23"/>
      <c r="E217" s="23"/>
      <c r="F217" s="23"/>
      <c r="G217" s="23"/>
      <c r="H217" s="25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23"/>
      <c r="B218" s="24"/>
      <c r="C218" s="23"/>
      <c r="D218" s="23"/>
      <c r="E218" s="23"/>
      <c r="F218" s="23"/>
      <c r="G218" s="23"/>
      <c r="H218" s="25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23"/>
      <c r="B219" s="24"/>
      <c r="C219" s="23"/>
      <c r="D219" s="23"/>
      <c r="E219" s="23"/>
      <c r="F219" s="23"/>
      <c r="G219" s="23"/>
      <c r="H219" s="25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23"/>
      <c r="B220" s="24"/>
      <c r="C220" s="23"/>
      <c r="D220" s="23"/>
      <c r="E220" s="23"/>
      <c r="F220" s="23"/>
      <c r="G220" s="23"/>
      <c r="H220" s="25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A1:J1"/>
    <mergeCell ref="H3:H1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A3" sqref="A3:G16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7.425781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5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32"/>
      <c r="L1" s="32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26" t="s">
        <v>1</v>
      </c>
      <c r="B2" s="27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34" t="s">
        <v>10</v>
      </c>
      <c r="I2" s="26" t="s">
        <v>5</v>
      </c>
      <c r="J2" s="33" t="s">
        <v>11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6"/>
      <c r="Y2" s="16"/>
      <c r="Z2" s="16"/>
    </row>
    <row r="3" spans="1:26" ht="15.75" customHeight="1">
      <c r="A3" s="20">
        <v>1</v>
      </c>
      <c r="B3" s="21" t="s">
        <v>127</v>
      </c>
      <c r="C3" s="20" t="s">
        <v>128</v>
      </c>
      <c r="D3" s="20" t="s">
        <v>26</v>
      </c>
      <c r="E3" s="20" t="s">
        <v>15</v>
      </c>
      <c r="F3" s="20" t="s">
        <v>129</v>
      </c>
      <c r="G3" s="35" t="s">
        <v>130</v>
      </c>
      <c r="H3" s="53" t="s">
        <v>45</v>
      </c>
      <c r="I3" s="36" t="s">
        <v>19</v>
      </c>
      <c r="J3" s="30">
        <f>5/11</f>
        <v>0.45454545454545453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0">
        <f t="shared" ref="A4:A16" si="0">A3+1</f>
        <v>2</v>
      </c>
      <c r="B4" s="21" t="s">
        <v>131</v>
      </c>
      <c r="C4" s="20" t="s">
        <v>132</v>
      </c>
      <c r="D4" s="20" t="s">
        <v>35</v>
      </c>
      <c r="E4" s="20" t="s">
        <v>15</v>
      </c>
      <c r="F4" s="20" t="s">
        <v>129</v>
      </c>
      <c r="G4" s="35" t="s">
        <v>130</v>
      </c>
      <c r="H4" s="51"/>
      <c r="I4" s="36" t="s">
        <v>15</v>
      </c>
      <c r="J4" s="30">
        <f t="shared" ref="J4:J5" si="1">3/11</f>
        <v>0.27272727272727271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0">
        <f t="shared" si="0"/>
        <v>3</v>
      </c>
      <c r="B5" s="21" t="s">
        <v>133</v>
      </c>
      <c r="C5" s="20" t="s">
        <v>134</v>
      </c>
      <c r="D5" s="20" t="s">
        <v>26</v>
      </c>
      <c r="E5" s="20" t="s">
        <v>23</v>
      </c>
      <c r="F5" s="20" t="s">
        <v>129</v>
      </c>
      <c r="G5" s="35" t="s">
        <v>130</v>
      </c>
      <c r="H5" s="51"/>
      <c r="I5" s="20" t="s">
        <v>23</v>
      </c>
      <c r="J5" s="30">
        <f t="shared" si="1"/>
        <v>0.27272727272727271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0">
        <f t="shared" si="0"/>
        <v>4</v>
      </c>
      <c r="B6" s="21" t="s">
        <v>135</v>
      </c>
      <c r="C6" s="20" t="s">
        <v>136</v>
      </c>
      <c r="D6" s="20" t="s">
        <v>26</v>
      </c>
      <c r="E6" s="20" t="s">
        <v>23</v>
      </c>
      <c r="F6" s="20" t="s">
        <v>129</v>
      </c>
      <c r="G6" s="35" t="s">
        <v>130</v>
      </c>
      <c r="H6" s="51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20">
        <f t="shared" si="0"/>
        <v>5</v>
      </c>
      <c r="B7" s="21" t="s">
        <v>137</v>
      </c>
      <c r="C7" s="20" t="s">
        <v>136</v>
      </c>
      <c r="D7" s="20" t="s">
        <v>26</v>
      </c>
      <c r="E7" s="20" t="s">
        <v>15</v>
      </c>
      <c r="F7" s="20" t="s">
        <v>129</v>
      </c>
      <c r="G7" s="35" t="s">
        <v>130</v>
      </c>
      <c r="H7" s="51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0">
        <f t="shared" si="0"/>
        <v>6</v>
      </c>
      <c r="B8" s="21" t="s">
        <v>138</v>
      </c>
      <c r="C8" s="20" t="s">
        <v>139</v>
      </c>
      <c r="D8" s="20" t="s">
        <v>26</v>
      </c>
      <c r="E8" s="20" t="s">
        <v>140</v>
      </c>
      <c r="F8" s="20" t="s">
        <v>129</v>
      </c>
      <c r="G8" s="35" t="s">
        <v>130</v>
      </c>
      <c r="H8" s="51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>
        <f t="shared" si="0"/>
        <v>7</v>
      </c>
      <c r="B9" s="21" t="s">
        <v>141</v>
      </c>
      <c r="C9" s="20" t="s">
        <v>142</v>
      </c>
      <c r="D9" s="20" t="s">
        <v>26</v>
      </c>
      <c r="E9" s="20" t="s">
        <v>23</v>
      </c>
      <c r="F9" s="20" t="s">
        <v>129</v>
      </c>
      <c r="G9" s="35" t="s">
        <v>130</v>
      </c>
      <c r="H9" s="51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">
        <f t="shared" si="0"/>
        <v>8</v>
      </c>
      <c r="B10" s="21" t="s">
        <v>143</v>
      </c>
      <c r="C10" s="20" t="s">
        <v>144</v>
      </c>
      <c r="D10" s="20" t="s">
        <v>14</v>
      </c>
      <c r="E10" s="20" t="s">
        <v>15</v>
      </c>
      <c r="F10" s="20" t="s">
        <v>129</v>
      </c>
      <c r="G10" s="35" t="s">
        <v>130</v>
      </c>
      <c r="H10" s="51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>
        <f t="shared" si="0"/>
        <v>9</v>
      </c>
      <c r="B11" s="21" t="s">
        <v>145</v>
      </c>
      <c r="C11" s="20" t="s">
        <v>146</v>
      </c>
      <c r="D11" s="20" t="s">
        <v>14</v>
      </c>
      <c r="E11" s="20" t="s">
        <v>15</v>
      </c>
      <c r="F11" s="20" t="s">
        <v>129</v>
      </c>
      <c r="G11" s="35" t="s">
        <v>130</v>
      </c>
      <c r="H11" s="51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>
        <f t="shared" si="0"/>
        <v>10</v>
      </c>
      <c r="B12" s="21" t="s">
        <v>147</v>
      </c>
      <c r="C12" s="20" t="s">
        <v>148</v>
      </c>
      <c r="D12" s="20" t="s">
        <v>26</v>
      </c>
      <c r="E12" s="20" t="s">
        <v>19</v>
      </c>
      <c r="F12" s="20" t="s">
        <v>129</v>
      </c>
      <c r="G12" s="35" t="s">
        <v>130</v>
      </c>
      <c r="H12" s="51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0">
        <f t="shared" si="0"/>
        <v>11</v>
      </c>
      <c r="B13" s="21" t="s">
        <v>149</v>
      </c>
      <c r="C13" s="20" t="s">
        <v>150</v>
      </c>
      <c r="D13" s="20" t="s">
        <v>26</v>
      </c>
      <c r="E13" s="20" t="s">
        <v>15</v>
      </c>
      <c r="F13" s="20" t="s">
        <v>129</v>
      </c>
      <c r="G13" s="35" t="s">
        <v>130</v>
      </c>
      <c r="H13" s="51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0">
        <f t="shared" si="0"/>
        <v>12</v>
      </c>
      <c r="B14" s="21" t="s">
        <v>151</v>
      </c>
      <c r="C14" s="20" t="s">
        <v>150</v>
      </c>
      <c r="D14" s="20" t="s">
        <v>26</v>
      </c>
      <c r="E14" s="20" t="s">
        <v>19</v>
      </c>
      <c r="F14" s="20" t="s">
        <v>129</v>
      </c>
      <c r="G14" s="35" t="s">
        <v>130</v>
      </c>
      <c r="H14" s="51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0">
        <f t="shared" si="0"/>
        <v>13</v>
      </c>
      <c r="B15" s="21" t="s">
        <v>152</v>
      </c>
      <c r="C15" s="20" t="s">
        <v>153</v>
      </c>
      <c r="D15" s="20" t="s">
        <v>35</v>
      </c>
      <c r="E15" s="20" t="s">
        <v>15</v>
      </c>
      <c r="F15" s="20" t="s">
        <v>129</v>
      </c>
      <c r="G15" s="35" t="s">
        <v>130</v>
      </c>
      <c r="H15" s="51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0">
        <f t="shared" si="0"/>
        <v>14</v>
      </c>
      <c r="B16" s="21" t="s">
        <v>154</v>
      </c>
      <c r="C16" s="20" t="s">
        <v>155</v>
      </c>
      <c r="D16" s="20" t="s">
        <v>26</v>
      </c>
      <c r="E16" s="20" t="s">
        <v>23</v>
      </c>
      <c r="F16" s="20" t="s">
        <v>129</v>
      </c>
      <c r="G16" s="35" t="s">
        <v>130</v>
      </c>
      <c r="H16" s="52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23"/>
      <c r="B17" s="24"/>
      <c r="C17" s="23"/>
      <c r="D17" s="23"/>
      <c r="E17" s="23"/>
      <c r="F17" s="23"/>
      <c r="G17" s="23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3"/>
      <c r="B18" s="24"/>
      <c r="C18" s="23"/>
      <c r="D18" s="23"/>
      <c r="E18" s="23"/>
      <c r="F18" s="23"/>
      <c r="G18" s="23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3"/>
      <c r="B19" s="24"/>
      <c r="C19" s="23"/>
      <c r="D19" s="23"/>
      <c r="E19" s="23"/>
      <c r="F19" s="23"/>
      <c r="G19" s="2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3"/>
      <c r="B20" s="24"/>
      <c r="C20" s="23"/>
      <c r="D20" s="23"/>
      <c r="E20" s="23"/>
      <c r="F20" s="23"/>
      <c r="G20" s="23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3"/>
      <c r="B21" s="24"/>
      <c r="C21" s="23"/>
      <c r="D21" s="23"/>
      <c r="E21" s="23"/>
      <c r="F21" s="23"/>
      <c r="G21" s="23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3"/>
      <c r="B22" s="24"/>
      <c r="C22" s="23"/>
      <c r="D22" s="23"/>
      <c r="E22" s="23"/>
      <c r="F22" s="23"/>
      <c r="G22" s="23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3"/>
      <c r="B23" s="24"/>
      <c r="C23" s="23"/>
      <c r="D23" s="23"/>
      <c r="E23" s="23"/>
      <c r="F23" s="23"/>
      <c r="G23" s="23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3"/>
      <c r="B24" s="24"/>
      <c r="C24" s="23"/>
      <c r="D24" s="23"/>
      <c r="E24" s="23"/>
      <c r="F24" s="23"/>
      <c r="G24" s="23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3"/>
      <c r="B25" s="24"/>
      <c r="C25" s="23"/>
      <c r="D25" s="23"/>
      <c r="E25" s="23"/>
      <c r="F25" s="23"/>
      <c r="G25" s="23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3"/>
      <c r="B26" s="24"/>
      <c r="C26" s="23"/>
      <c r="D26" s="23"/>
      <c r="E26" s="23"/>
      <c r="F26" s="23"/>
      <c r="G26" s="23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3"/>
      <c r="B27" s="24"/>
      <c r="C27" s="23"/>
      <c r="D27" s="23"/>
      <c r="E27" s="23"/>
      <c r="F27" s="23"/>
      <c r="G27" s="23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3"/>
      <c r="B28" s="24"/>
      <c r="C28" s="23"/>
      <c r="D28" s="23"/>
      <c r="E28" s="23"/>
      <c r="F28" s="23"/>
      <c r="G28" s="23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3"/>
      <c r="B29" s="24"/>
      <c r="C29" s="23"/>
      <c r="D29" s="23"/>
      <c r="E29" s="23"/>
      <c r="F29" s="23"/>
      <c r="G29" s="23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3"/>
      <c r="B30" s="24"/>
      <c r="C30" s="23"/>
      <c r="D30" s="23"/>
      <c r="E30" s="23"/>
      <c r="F30" s="23"/>
      <c r="G30" s="23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3"/>
      <c r="B31" s="24"/>
      <c r="C31" s="23"/>
      <c r="D31" s="23"/>
      <c r="E31" s="23"/>
      <c r="F31" s="23"/>
      <c r="G31" s="23"/>
      <c r="H31" s="2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3"/>
      <c r="B32" s="24"/>
      <c r="C32" s="23"/>
      <c r="D32" s="23"/>
      <c r="E32" s="23"/>
      <c r="F32" s="23"/>
      <c r="G32" s="23"/>
      <c r="H32" s="2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3"/>
      <c r="B33" s="24"/>
      <c r="C33" s="23"/>
      <c r="D33" s="23"/>
      <c r="E33" s="23"/>
      <c r="F33" s="23"/>
      <c r="G33" s="23"/>
      <c r="H33" s="2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3"/>
      <c r="B34" s="24"/>
      <c r="C34" s="23"/>
      <c r="D34" s="23"/>
      <c r="E34" s="23"/>
      <c r="F34" s="23"/>
      <c r="G34" s="23"/>
      <c r="H34" s="25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3"/>
      <c r="B35" s="24"/>
      <c r="C35" s="23"/>
      <c r="D35" s="23"/>
      <c r="E35" s="23"/>
      <c r="F35" s="23"/>
      <c r="G35" s="23"/>
      <c r="H35" s="25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3"/>
      <c r="B36" s="24"/>
      <c r="C36" s="23"/>
      <c r="D36" s="23"/>
      <c r="E36" s="23"/>
      <c r="F36" s="23"/>
      <c r="G36" s="23"/>
      <c r="H36" s="25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3"/>
      <c r="B37" s="24"/>
      <c r="C37" s="23"/>
      <c r="D37" s="23"/>
      <c r="E37" s="23"/>
      <c r="F37" s="23"/>
      <c r="G37" s="23"/>
      <c r="H37" s="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3"/>
      <c r="B38" s="24"/>
      <c r="C38" s="23"/>
      <c r="D38" s="23"/>
      <c r="E38" s="23"/>
      <c r="F38" s="23"/>
      <c r="G38" s="23"/>
      <c r="H38" s="2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3"/>
      <c r="B39" s="24"/>
      <c r="C39" s="23"/>
      <c r="D39" s="23"/>
      <c r="E39" s="23"/>
      <c r="F39" s="23"/>
      <c r="G39" s="23"/>
      <c r="H39" s="2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3"/>
      <c r="B40" s="24"/>
      <c r="C40" s="23"/>
      <c r="D40" s="23"/>
      <c r="E40" s="23"/>
      <c r="F40" s="23"/>
      <c r="G40" s="23"/>
      <c r="H40" s="2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3"/>
      <c r="B41" s="24"/>
      <c r="C41" s="23"/>
      <c r="D41" s="23"/>
      <c r="E41" s="23"/>
      <c r="F41" s="23"/>
      <c r="G41" s="23"/>
      <c r="H41" s="2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3"/>
      <c r="B42" s="24"/>
      <c r="C42" s="23"/>
      <c r="D42" s="23"/>
      <c r="E42" s="23"/>
      <c r="F42" s="23"/>
      <c r="G42" s="23"/>
      <c r="H42" s="2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3"/>
      <c r="B43" s="24"/>
      <c r="C43" s="23"/>
      <c r="D43" s="23"/>
      <c r="E43" s="23"/>
      <c r="F43" s="23"/>
      <c r="G43" s="23"/>
      <c r="H43" s="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3"/>
      <c r="B44" s="24"/>
      <c r="C44" s="23"/>
      <c r="D44" s="23"/>
      <c r="E44" s="23"/>
      <c r="F44" s="23"/>
      <c r="G44" s="23"/>
      <c r="H44" s="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3"/>
      <c r="B45" s="24"/>
      <c r="C45" s="23"/>
      <c r="D45" s="23"/>
      <c r="E45" s="23"/>
      <c r="F45" s="23"/>
      <c r="G45" s="23"/>
      <c r="H45" s="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3"/>
      <c r="B46" s="24"/>
      <c r="C46" s="23"/>
      <c r="D46" s="23"/>
      <c r="E46" s="23"/>
      <c r="F46" s="23"/>
      <c r="G46" s="23"/>
      <c r="H46" s="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3"/>
      <c r="B47" s="24"/>
      <c r="C47" s="23"/>
      <c r="D47" s="23"/>
      <c r="E47" s="23"/>
      <c r="F47" s="23"/>
      <c r="G47" s="23"/>
      <c r="H47" s="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3"/>
      <c r="B48" s="24"/>
      <c r="C48" s="23"/>
      <c r="D48" s="23"/>
      <c r="E48" s="23"/>
      <c r="F48" s="23"/>
      <c r="G48" s="23"/>
      <c r="H48" s="2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3"/>
      <c r="B49" s="24"/>
      <c r="C49" s="23"/>
      <c r="D49" s="23"/>
      <c r="E49" s="23"/>
      <c r="F49" s="23"/>
      <c r="G49" s="23"/>
      <c r="H49" s="2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3"/>
      <c r="B50" s="24"/>
      <c r="C50" s="23"/>
      <c r="D50" s="23"/>
      <c r="E50" s="23"/>
      <c r="F50" s="23"/>
      <c r="G50" s="23"/>
      <c r="H50" s="2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3"/>
      <c r="B51" s="24"/>
      <c r="C51" s="23"/>
      <c r="D51" s="23"/>
      <c r="E51" s="23"/>
      <c r="F51" s="23"/>
      <c r="G51" s="23"/>
      <c r="H51" s="2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3"/>
      <c r="B52" s="24"/>
      <c r="C52" s="23"/>
      <c r="D52" s="23"/>
      <c r="E52" s="23"/>
      <c r="F52" s="23"/>
      <c r="G52" s="23"/>
      <c r="H52" s="2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3"/>
      <c r="B53" s="24"/>
      <c r="C53" s="23"/>
      <c r="D53" s="23"/>
      <c r="E53" s="23"/>
      <c r="F53" s="23"/>
      <c r="G53" s="23"/>
      <c r="H53" s="2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3"/>
      <c r="B54" s="24"/>
      <c r="C54" s="23"/>
      <c r="D54" s="23"/>
      <c r="E54" s="23"/>
      <c r="F54" s="23"/>
      <c r="G54" s="23"/>
      <c r="H54" s="2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3"/>
      <c r="B55" s="24"/>
      <c r="C55" s="23"/>
      <c r="D55" s="23"/>
      <c r="E55" s="23"/>
      <c r="F55" s="23"/>
      <c r="G55" s="23"/>
      <c r="H55" s="25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3"/>
      <c r="B56" s="24"/>
      <c r="C56" s="23"/>
      <c r="D56" s="23"/>
      <c r="E56" s="23"/>
      <c r="F56" s="23"/>
      <c r="G56" s="23"/>
      <c r="H56" s="25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3"/>
      <c r="B57" s="24"/>
      <c r="C57" s="23"/>
      <c r="D57" s="23"/>
      <c r="E57" s="23"/>
      <c r="F57" s="23"/>
      <c r="G57" s="23"/>
      <c r="H57" s="25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3"/>
      <c r="B58" s="24"/>
      <c r="C58" s="23"/>
      <c r="D58" s="23"/>
      <c r="E58" s="23"/>
      <c r="F58" s="23"/>
      <c r="G58" s="23"/>
      <c r="H58" s="2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3"/>
      <c r="B59" s="24"/>
      <c r="C59" s="23"/>
      <c r="D59" s="23"/>
      <c r="E59" s="23"/>
      <c r="F59" s="23"/>
      <c r="G59" s="23"/>
      <c r="H59" s="2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3"/>
      <c r="B60" s="24"/>
      <c r="C60" s="23"/>
      <c r="D60" s="23"/>
      <c r="E60" s="23"/>
      <c r="F60" s="23"/>
      <c r="G60" s="23"/>
      <c r="H60" s="25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3"/>
      <c r="B61" s="24"/>
      <c r="C61" s="23"/>
      <c r="D61" s="23"/>
      <c r="E61" s="23"/>
      <c r="F61" s="23"/>
      <c r="G61" s="23"/>
      <c r="H61" s="2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3"/>
      <c r="B62" s="24"/>
      <c r="C62" s="23"/>
      <c r="D62" s="23"/>
      <c r="E62" s="23"/>
      <c r="F62" s="23"/>
      <c r="G62" s="23"/>
      <c r="H62" s="25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3"/>
      <c r="B63" s="24"/>
      <c r="C63" s="23"/>
      <c r="D63" s="23"/>
      <c r="E63" s="23"/>
      <c r="F63" s="23"/>
      <c r="G63" s="23"/>
      <c r="H63" s="25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3"/>
      <c r="B64" s="24"/>
      <c r="C64" s="23"/>
      <c r="D64" s="23"/>
      <c r="E64" s="23"/>
      <c r="F64" s="23"/>
      <c r="G64" s="23"/>
      <c r="H64" s="25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3"/>
      <c r="B65" s="24"/>
      <c r="C65" s="23"/>
      <c r="D65" s="23"/>
      <c r="E65" s="23"/>
      <c r="F65" s="23"/>
      <c r="G65" s="23"/>
      <c r="H65" s="2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3"/>
      <c r="B66" s="24"/>
      <c r="C66" s="23"/>
      <c r="D66" s="23"/>
      <c r="E66" s="23"/>
      <c r="F66" s="23"/>
      <c r="G66" s="23"/>
      <c r="H66" s="25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3"/>
      <c r="B67" s="24"/>
      <c r="C67" s="23"/>
      <c r="D67" s="23"/>
      <c r="E67" s="23"/>
      <c r="F67" s="23"/>
      <c r="G67" s="23"/>
      <c r="H67" s="25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3"/>
      <c r="B68" s="24"/>
      <c r="C68" s="23"/>
      <c r="D68" s="23"/>
      <c r="E68" s="23"/>
      <c r="F68" s="23"/>
      <c r="G68" s="23"/>
      <c r="H68" s="2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3"/>
      <c r="B69" s="24"/>
      <c r="C69" s="23"/>
      <c r="D69" s="23"/>
      <c r="E69" s="23"/>
      <c r="F69" s="23"/>
      <c r="G69" s="23"/>
      <c r="H69" s="2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3"/>
      <c r="B70" s="24"/>
      <c r="C70" s="23"/>
      <c r="D70" s="23"/>
      <c r="E70" s="23"/>
      <c r="F70" s="23"/>
      <c r="G70" s="23"/>
      <c r="H70" s="2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3"/>
      <c r="B71" s="24"/>
      <c r="C71" s="23"/>
      <c r="D71" s="23"/>
      <c r="E71" s="23"/>
      <c r="F71" s="23"/>
      <c r="G71" s="23"/>
      <c r="H71" s="2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3"/>
      <c r="B72" s="24"/>
      <c r="C72" s="23"/>
      <c r="D72" s="23"/>
      <c r="E72" s="23"/>
      <c r="F72" s="23"/>
      <c r="G72" s="23"/>
      <c r="H72" s="2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3"/>
      <c r="B73" s="24"/>
      <c r="C73" s="23"/>
      <c r="D73" s="23"/>
      <c r="E73" s="23"/>
      <c r="F73" s="23"/>
      <c r="G73" s="23"/>
      <c r="H73" s="2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3"/>
      <c r="B74" s="24"/>
      <c r="C74" s="23"/>
      <c r="D74" s="23"/>
      <c r="E74" s="23"/>
      <c r="F74" s="23"/>
      <c r="G74" s="23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3"/>
      <c r="B75" s="24"/>
      <c r="C75" s="23"/>
      <c r="D75" s="23"/>
      <c r="E75" s="23"/>
      <c r="F75" s="23"/>
      <c r="G75" s="23"/>
      <c r="H75" s="2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3"/>
      <c r="B76" s="24"/>
      <c r="C76" s="23"/>
      <c r="D76" s="23"/>
      <c r="E76" s="23"/>
      <c r="F76" s="23"/>
      <c r="G76" s="23"/>
      <c r="H76" s="2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3"/>
      <c r="B77" s="24"/>
      <c r="C77" s="23"/>
      <c r="D77" s="23"/>
      <c r="E77" s="23"/>
      <c r="F77" s="23"/>
      <c r="G77" s="23"/>
      <c r="H77" s="2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3"/>
      <c r="B78" s="24"/>
      <c r="C78" s="23"/>
      <c r="D78" s="23"/>
      <c r="E78" s="23"/>
      <c r="F78" s="23"/>
      <c r="G78" s="23"/>
      <c r="H78" s="2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3"/>
      <c r="B79" s="24"/>
      <c r="C79" s="23"/>
      <c r="D79" s="23"/>
      <c r="E79" s="23"/>
      <c r="F79" s="23"/>
      <c r="G79" s="23"/>
      <c r="H79" s="2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3"/>
      <c r="B80" s="24"/>
      <c r="C80" s="23"/>
      <c r="D80" s="23"/>
      <c r="E80" s="23"/>
      <c r="F80" s="23"/>
      <c r="G80" s="23"/>
      <c r="H80" s="2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3"/>
      <c r="B81" s="24"/>
      <c r="C81" s="23"/>
      <c r="D81" s="23"/>
      <c r="E81" s="23"/>
      <c r="F81" s="23"/>
      <c r="G81" s="23"/>
      <c r="H81" s="2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3"/>
      <c r="B82" s="24"/>
      <c r="C82" s="23"/>
      <c r="D82" s="23"/>
      <c r="E82" s="23"/>
      <c r="F82" s="23"/>
      <c r="G82" s="23"/>
      <c r="H82" s="2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3"/>
      <c r="B83" s="24"/>
      <c r="C83" s="23"/>
      <c r="D83" s="23"/>
      <c r="E83" s="23"/>
      <c r="F83" s="23"/>
      <c r="G83" s="23"/>
      <c r="H83" s="2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3"/>
      <c r="B84" s="24"/>
      <c r="C84" s="23"/>
      <c r="D84" s="23"/>
      <c r="E84" s="23"/>
      <c r="F84" s="23"/>
      <c r="G84" s="23"/>
      <c r="H84" s="2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3"/>
      <c r="B85" s="24"/>
      <c r="C85" s="23"/>
      <c r="D85" s="23"/>
      <c r="E85" s="23"/>
      <c r="F85" s="23"/>
      <c r="G85" s="23"/>
      <c r="H85" s="2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3"/>
      <c r="B86" s="24"/>
      <c r="C86" s="23"/>
      <c r="D86" s="23"/>
      <c r="E86" s="23"/>
      <c r="F86" s="23"/>
      <c r="G86" s="23"/>
      <c r="H86" s="2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3"/>
      <c r="B87" s="24"/>
      <c r="C87" s="23"/>
      <c r="D87" s="23"/>
      <c r="E87" s="23"/>
      <c r="F87" s="23"/>
      <c r="G87" s="23"/>
      <c r="H87" s="2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3"/>
      <c r="B88" s="24"/>
      <c r="C88" s="23"/>
      <c r="D88" s="23"/>
      <c r="E88" s="23"/>
      <c r="F88" s="23"/>
      <c r="G88" s="23"/>
      <c r="H88" s="2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3"/>
      <c r="B89" s="24"/>
      <c r="C89" s="23"/>
      <c r="D89" s="23"/>
      <c r="E89" s="23"/>
      <c r="F89" s="23"/>
      <c r="G89" s="23"/>
      <c r="H89" s="2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3"/>
      <c r="B90" s="24"/>
      <c r="C90" s="23"/>
      <c r="D90" s="23"/>
      <c r="E90" s="23"/>
      <c r="F90" s="23"/>
      <c r="G90" s="23"/>
      <c r="H90" s="2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3"/>
      <c r="B91" s="24"/>
      <c r="C91" s="23"/>
      <c r="D91" s="23"/>
      <c r="E91" s="23"/>
      <c r="F91" s="23"/>
      <c r="G91" s="23"/>
      <c r="H91" s="2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3"/>
      <c r="B92" s="24"/>
      <c r="C92" s="23"/>
      <c r="D92" s="23"/>
      <c r="E92" s="23"/>
      <c r="F92" s="23"/>
      <c r="G92" s="23"/>
      <c r="H92" s="2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3"/>
      <c r="B93" s="24"/>
      <c r="C93" s="23"/>
      <c r="D93" s="23"/>
      <c r="E93" s="23"/>
      <c r="F93" s="23"/>
      <c r="G93" s="23"/>
      <c r="H93" s="2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3"/>
      <c r="B94" s="24"/>
      <c r="C94" s="23"/>
      <c r="D94" s="23"/>
      <c r="E94" s="23"/>
      <c r="F94" s="23"/>
      <c r="G94" s="23"/>
      <c r="H94" s="2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3"/>
      <c r="B95" s="24"/>
      <c r="C95" s="23"/>
      <c r="D95" s="23"/>
      <c r="E95" s="23"/>
      <c r="F95" s="23"/>
      <c r="G95" s="23"/>
      <c r="H95" s="2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3"/>
      <c r="B96" s="24"/>
      <c r="C96" s="23"/>
      <c r="D96" s="23"/>
      <c r="E96" s="23"/>
      <c r="F96" s="23"/>
      <c r="G96" s="23"/>
      <c r="H96" s="2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3"/>
      <c r="B97" s="24"/>
      <c r="C97" s="23"/>
      <c r="D97" s="23"/>
      <c r="E97" s="23"/>
      <c r="F97" s="23"/>
      <c r="G97" s="23"/>
      <c r="H97" s="2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3"/>
      <c r="B98" s="24"/>
      <c r="C98" s="23"/>
      <c r="D98" s="23"/>
      <c r="E98" s="23"/>
      <c r="F98" s="23"/>
      <c r="G98" s="23"/>
      <c r="H98" s="2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3"/>
      <c r="B99" s="24"/>
      <c r="C99" s="23"/>
      <c r="D99" s="23"/>
      <c r="E99" s="23"/>
      <c r="F99" s="23"/>
      <c r="G99" s="23"/>
      <c r="H99" s="2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3"/>
      <c r="B100" s="24"/>
      <c r="C100" s="23"/>
      <c r="D100" s="23"/>
      <c r="E100" s="23"/>
      <c r="F100" s="23"/>
      <c r="G100" s="23"/>
      <c r="H100" s="2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3"/>
      <c r="B101" s="24"/>
      <c r="C101" s="23"/>
      <c r="D101" s="23"/>
      <c r="E101" s="23"/>
      <c r="F101" s="23"/>
      <c r="G101" s="23"/>
      <c r="H101" s="2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3"/>
      <c r="B102" s="24"/>
      <c r="C102" s="23"/>
      <c r="D102" s="23"/>
      <c r="E102" s="23"/>
      <c r="F102" s="23"/>
      <c r="G102" s="23"/>
      <c r="H102" s="2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3"/>
      <c r="B103" s="24"/>
      <c r="C103" s="23"/>
      <c r="D103" s="23"/>
      <c r="E103" s="23"/>
      <c r="F103" s="23"/>
      <c r="G103" s="23"/>
      <c r="H103" s="2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3"/>
      <c r="B104" s="24"/>
      <c r="C104" s="23"/>
      <c r="D104" s="23"/>
      <c r="E104" s="23"/>
      <c r="F104" s="23"/>
      <c r="G104" s="23"/>
      <c r="H104" s="2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3"/>
      <c r="B105" s="24"/>
      <c r="C105" s="23"/>
      <c r="D105" s="23"/>
      <c r="E105" s="23"/>
      <c r="F105" s="23"/>
      <c r="G105" s="23"/>
      <c r="H105" s="2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3"/>
      <c r="B106" s="24"/>
      <c r="C106" s="23"/>
      <c r="D106" s="23"/>
      <c r="E106" s="23"/>
      <c r="F106" s="23"/>
      <c r="G106" s="23"/>
      <c r="H106" s="2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3"/>
      <c r="B107" s="24"/>
      <c r="C107" s="23"/>
      <c r="D107" s="23"/>
      <c r="E107" s="23"/>
      <c r="F107" s="23"/>
      <c r="G107" s="23"/>
      <c r="H107" s="2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3"/>
      <c r="B108" s="24"/>
      <c r="C108" s="23"/>
      <c r="D108" s="23"/>
      <c r="E108" s="23"/>
      <c r="F108" s="23"/>
      <c r="G108" s="23"/>
      <c r="H108" s="2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3"/>
      <c r="B109" s="24"/>
      <c r="C109" s="23"/>
      <c r="D109" s="23"/>
      <c r="E109" s="23"/>
      <c r="F109" s="23"/>
      <c r="G109" s="23"/>
      <c r="H109" s="2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3"/>
      <c r="B110" s="24"/>
      <c r="C110" s="23"/>
      <c r="D110" s="23"/>
      <c r="E110" s="23"/>
      <c r="F110" s="23"/>
      <c r="G110" s="23"/>
      <c r="H110" s="2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3"/>
      <c r="B111" s="24"/>
      <c r="C111" s="23"/>
      <c r="D111" s="23"/>
      <c r="E111" s="23"/>
      <c r="F111" s="23"/>
      <c r="G111" s="23"/>
      <c r="H111" s="2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3"/>
      <c r="B112" s="24"/>
      <c r="C112" s="23"/>
      <c r="D112" s="23"/>
      <c r="E112" s="23"/>
      <c r="F112" s="23"/>
      <c r="G112" s="23"/>
      <c r="H112" s="2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3"/>
      <c r="B113" s="24"/>
      <c r="C113" s="23"/>
      <c r="D113" s="23"/>
      <c r="E113" s="23"/>
      <c r="F113" s="23"/>
      <c r="G113" s="23"/>
      <c r="H113" s="2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3"/>
      <c r="B114" s="24"/>
      <c r="C114" s="23"/>
      <c r="D114" s="23"/>
      <c r="E114" s="23"/>
      <c r="F114" s="23"/>
      <c r="G114" s="23"/>
      <c r="H114" s="2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3"/>
      <c r="B115" s="24"/>
      <c r="C115" s="23"/>
      <c r="D115" s="23"/>
      <c r="E115" s="23"/>
      <c r="F115" s="23"/>
      <c r="G115" s="23"/>
      <c r="H115" s="2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3"/>
      <c r="B116" s="24"/>
      <c r="C116" s="23"/>
      <c r="D116" s="23"/>
      <c r="E116" s="23"/>
      <c r="F116" s="23"/>
      <c r="G116" s="23"/>
      <c r="H116" s="2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3"/>
      <c r="B117" s="24"/>
      <c r="C117" s="23"/>
      <c r="D117" s="23"/>
      <c r="E117" s="23"/>
      <c r="F117" s="23"/>
      <c r="G117" s="23"/>
      <c r="H117" s="2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3"/>
      <c r="B118" s="24"/>
      <c r="C118" s="23"/>
      <c r="D118" s="23"/>
      <c r="E118" s="23"/>
      <c r="F118" s="23"/>
      <c r="G118" s="23"/>
      <c r="H118" s="2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3"/>
      <c r="B119" s="24"/>
      <c r="C119" s="23"/>
      <c r="D119" s="23"/>
      <c r="E119" s="23"/>
      <c r="F119" s="23"/>
      <c r="G119" s="23"/>
      <c r="H119" s="2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3"/>
      <c r="B120" s="24"/>
      <c r="C120" s="23"/>
      <c r="D120" s="23"/>
      <c r="E120" s="23"/>
      <c r="F120" s="23"/>
      <c r="G120" s="23"/>
      <c r="H120" s="2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3"/>
      <c r="B121" s="24"/>
      <c r="C121" s="23"/>
      <c r="D121" s="23"/>
      <c r="E121" s="23"/>
      <c r="F121" s="23"/>
      <c r="G121" s="23"/>
      <c r="H121" s="2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3"/>
      <c r="B122" s="24"/>
      <c r="C122" s="23"/>
      <c r="D122" s="23"/>
      <c r="E122" s="23"/>
      <c r="F122" s="23"/>
      <c r="G122" s="23"/>
      <c r="H122" s="2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3"/>
      <c r="B123" s="24"/>
      <c r="C123" s="23"/>
      <c r="D123" s="23"/>
      <c r="E123" s="23"/>
      <c r="F123" s="23"/>
      <c r="G123" s="23"/>
      <c r="H123" s="2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3"/>
      <c r="B124" s="24"/>
      <c r="C124" s="23"/>
      <c r="D124" s="23"/>
      <c r="E124" s="23"/>
      <c r="F124" s="23"/>
      <c r="G124" s="23"/>
      <c r="H124" s="2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3"/>
      <c r="B125" s="24"/>
      <c r="C125" s="23"/>
      <c r="D125" s="23"/>
      <c r="E125" s="23"/>
      <c r="F125" s="23"/>
      <c r="G125" s="23"/>
      <c r="H125" s="2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3"/>
      <c r="B126" s="24"/>
      <c r="C126" s="23"/>
      <c r="D126" s="23"/>
      <c r="E126" s="23"/>
      <c r="F126" s="23"/>
      <c r="G126" s="23"/>
      <c r="H126" s="2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3"/>
      <c r="B127" s="24"/>
      <c r="C127" s="23"/>
      <c r="D127" s="23"/>
      <c r="E127" s="23"/>
      <c r="F127" s="23"/>
      <c r="G127" s="23"/>
      <c r="H127" s="2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3"/>
      <c r="B128" s="24"/>
      <c r="C128" s="23"/>
      <c r="D128" s="23"/>
      <c r="E128" s="23"/>
      <c r="F128" s="23"/>
      <c r="G128" s="23"/>
      <c r="H128" s="2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3"/>
      <c r="B129" s="24"/>
      <c r="C129" s="23"/>
      <c r="D129" s="23"/>
      <c r="E129" s="23"/>
      <c r="F129" s="23"/>
      <c r="G129" s="23"/>
      <c r="H129" s="2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3"/>
      <c r="B130" s="24"/>
      <c r="C130" s="23"/>
      <c r="D130" s="23"/>
      <c r="E130" s="23"/>
      <c r="F130" s="23"/>
      <c r="G130" s="23"/>
      <c r="H130" s="2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3"/>
      <c r="B131" s="24"/>
      <c r="C131" s="23"/>
      <c r="D131" s="23"/>
      <c r="E131" s="23"/>
      <c r="F131" s="23"/>
      <c r="G131" s="23"/>
      <c r="H131" s="2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3"/>
      <c r="B132" s="24"/>
      <c r="C132" s="23"/>
      <c r="D132" s="23"/>
      <c r="E132" s="23"/>
      <c r="F132" s="23"/>
      <c r="G132" s="23"/>
      <c r="H132" s="2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3"/>
      <c r="B133" s="24"/>
      <c r="C133" s="23"/>
      <c r="D133" s="23"/>
      <c r="E133" s="23"/>
      <c r="F133" s="23"/>
      <c r="G133" s="23"/>
      <c r="H133" s="2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3"/>
      <c r="B134" s="24"/>
      <c r="C134" s="23"/>
      <c r="D134" s="23"/>
      <c r="E134" s="23"/>
      <c r="F134" s="23"/>
      <c r="G134" s="23"/>
      <c r="H134" s="2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3"/>
      <c r="B135" s="24"/>
      <c r="C135" s="23"/>
      <c r="D135" s="23"/>
      <c r="E135" s="23"/>
      <c r="F135" s="23"/>
      <c r="G135" s="23"/>
      <c r="H135" s="2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3"/>
      <c r="B136" s="24"/>
      <c r="C136" s="23"/>
      <c r="D136" s="23"/>
      <c r="E136" s="23"/>
      <c r="F136" s="23"/>
      <c r="G136" s="23"/>
      <c r="H136" s="2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3"/>
      <c r="B137" s="24"/>
      <c r="C137" s="23"/>
      <c r="D137" s="23"/>
      <c r="E137" s="23"/>
      <c r="F137" s="23"/>
      <c r="G137" s="23"/>
      <c r="H137" s="2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3"/>
      <c r="B138" s="24"/>
      <c r="C138" s="23"/>
      <c r="D138" s="23"/>
      <c r="E138" s="23"/>
      <c r="F138" s="23"/>
      <c r="G138" s="23"/>
      <c r="H138" s="2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3"/>
      <c r="B139" s="24"/>
      <c r="C139" s="23"/>
      <c r="D139" s="23"/>
      <c r="E139" s="23"/>
      <c r="F139" s="23"/>
      <c r="G139" s="23"/>
      <c r="H139" s="2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3"/>
      <c r="B140" s="24"/>
      <c r="C140" s="23"/>
      <c r="D140" s="23"/>
      <c r="E140" s="23"/>
      <c r="F140" s="23"/>
      <c r="G140" s="23"/>
      <c r="H140" s="2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3"/>
      <c r="B141" s="24"/>
      <c r="C141" s="23"/>
      <c r="D141" s="23"/>
      <c r="E141" s="23"/>
      <c r="F141" s="23"/>
      <c r="G141" s="23"/>
      <c r="H141" s="25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3"/>
      <c r="B142" s="24"/>
      <c r="C142" s="23"/>
      <c r="D142" s="23"/>
      <c r="E142" s="23"/>
      <c r="F142" s="23"/>
      <c r="G142" s="23"/>
      <c r="H142" s="25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3"/>
      <c r="B143" s="24"/>
      <c r="C143" s="23"/>
      <c r="D143" s="23"/>
      <c r="E143" s="23"/>
      <c r="F143" s="23"/>
      <c r="G143" s="23"/>
      <c r="H143" s="25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3"/>
      <c r="B144" s="24"/>
      <c r="C144" s="23"/>
      <c r="D144" s="23"/>
      <c r="E144" s="23"/>
      <c r="F144" s="23"/>
      <c r="G144" s="23"/>
      <c r="H144" s="25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3"/>
      <c r="B145" s="24"/>
      <c r="C145" s="23"/>
      <c r="D145" s="23"/>
      <c r="E145" s="23"/>
      <c r="F145" s="23"/>
      <c r="G145" s="23"/>
      <c r="H145" s="25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3"/>
      <c r="B146" s="24"/>
      <c r="C146" s="23"/>
      <c r="D146" s="23"/>
      <c r="E146" s="23"/>
      <c r="F146" s="23"/>
      <c r="G146" s="23"/>
      <c r="H146" s="25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3"/>
      <c r="B147" s="24"/>
      <c r="C147" s="23"/>
      <c r="D147" s="23"/>
      <c r="E147" s="23"/>
      <c r="F147" s="23"/>
      <c r="G147" s="23"/>
      <c r="H147" s="25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3"/>
      <c r="B148" s="24"/>
      <c r="C148" s="23"/>
      <c r="D148" s="23"/>
      <c r="E148" s="23"/>
      <c r="F148" s="23"/>
      <c r="G148" s="23"/>
      <c r="H148" s="25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3"/>
      <c r="B149" s="24"/>
      <c r="C149" s="23"/>
      <c r="D149" s="23"/>
      <c r="E149" s="23"/>
      <c r="F149" s="23"/>
      <c r="G149" s="23"/>
      <c r="H149" s="25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3"/>
      <c r="B150" s="24"/>
      <c r="C150" s="23"/>
      <c r="D150" s="23"/>
      <c r="E150" s="23"/>
      <c r="F150" s="23"/>
      <c r="G150" s="23"/>
      <c r="H150" s="25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3"/>
      <c r="B151" s="24"/>
      <c r="C151" s="23"/>
      <c r="D151" s="23"/>
      <c r="E151" s="23"/>
      <c r="F151" s="23"/>
      <c r="G151" s="23"/>
      <c r="H151" s="25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3"/>
      <c r="B152" s="24"/>
      <c r="C152" s="23"/>
      <c r="D152" s="23"/>
      <c r="E152" s="23"/>
      <c r="F152" s="23"/>
      <c r="G152" s="23"/>
      <c r="H152" s="25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3"/>
      <c r="B153" s="24"/>
      <c r="C153" s="23"/>
      <c r="D153" s="23"/>
      <c r="E153" s="23"/>
      <c r="F153" s="23"/>
      <c r="G153" s="23"/>
      <c r="H153" s="25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3"/>
      <c r="B154" s="24"/>
      <c r="C154" s="23"/>
      <c r="D154" s="23"/>
      <c r="E154" s="23"/>
      <c r="F154" s="23"/>
      <c r="G154" s="23"/>
      <c r="H154" s="25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3"/>
      <c r="B155" s="24"/>
      <c r="C155" s="23"/>
      <c r="D155" s="23"/>
      <c r="E155" s="23"/>
      <c r="F155" s="23"/>
      <c r="G155" s="23"/>
      <c r="H155" s="25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3"/>
      <c r="B156" s="24"/>
      <c r="C156" s="23"/>
      <c r="D156" s="23"/>
      <c r="E156" s="23"/>
      <c r="F156" s="23"/>
      <c r="G156" s="23"/>
      <c r="H156" s="25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3"/>
      <c r="B157" s="24"/>
      <c r="C157" s="23"/>
      <c r="D157" s="23"/>
      <c r="E157" s="23"/>
      <c r="F157" s="23"/>
      <c r="G157" s="23"/>
      <c r="H157" s="25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3"/>
      <c r="B158" s="24"/>
      <c r="C158" s="23"/>
      <c r="D158" s="23"/>
      <c r="E158" s="23"/>
      <c r="F158" s="23"/>
      <c r="G158" s="23"/>
      <c r="H158" s="25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3"/>
      <c r="B159" s="24"/>
      <c r="C159" s="23"/>
      <c r="D159" s="23"/>
      <c r="E159" s="23"/>
      <c r="F159" s="23"/>
      <c r="G159" s="23"/>
      <c r="H159" s="25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3"/>
      <c r="B160" s="24"/>
      <c r="C160" s="23"/>
      <c r="D160" s="23"/>
      <c r="E160" s="23"/>
      <c r="F160" s="23"/>
      <c r="G160" s="23"/>
      <c r="H160" s="25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3"/>
      <c r="B161" s="24"/>
      <c r="C161" s="23"/>
      <c r="D161" s="23"/>
      <c r="E161" s="23"/>
      <c r="F161" s="23"/>
      <c r="G161" s="23"/>
      <c r="H161" s="25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3"/>
      <c r="B162" s="24"/>
      <c r="C162" s="23"/>
      <c r="D162" s="23"/>
      <c r="E162" s="23"/>
      <c r="F162" s="23"/>
      <c r="G162" s="23"/>
      <c r="H162" s="25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3"/>
      <c r="B163" s="24"/>
      <c r="C163" s="23"/>
      <c r="D163" s="23"/>
      <c r="E163" s="23"/>
      <c r="F163" s="23"/>
      <c r="G163" s="23"/>
      <c r="H163" s="25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3"/>
      <c r="B164" s="24"/>
      <c r="C164" s="23"/>
      <c r="D164" s="23"/>
      <c r="E164" s="23"/>
      <c r="F164" s="23"/>
      <c r="G164" s="23"/>
      <c r="H164" s="25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3"/>
      <c r="B165" s="24"/>
      <c r="C165" s="23"/>
      <c r="D165" s="23"/>
      <c r="E165" s="23"/>
      <c r="F165" s="23"/>
      <c r="G165" s="23"/>
      <c r="H165" s="25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3"/>
      <c r="B166" s="24"/>
      <c r="C166" s="23"/>
      <c r="D166" s="23"/>
      <c r="E166" s="23"/>
      <c r="F166" s="23"/>
      <c r="G166" s="23"/>
      <c r="H166" s="25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3"/>
      <c r="B167" s="24"/>
      <c r="C167" s="23"/>
      <c r="D167" s="23"/>
      <c r="E167" s="23"/>
      <c r="F167" s="23"/>
      <c r="G167" s="23"/>
      <c r="H167" s="25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3"/>
      <c r="B168" s="24"/>
      <c r="C168" s="23"/>
      <c r="D168" s="23"/>
      <c r="E168" s="23"/>
      <c r="F168" s="23"/>
      <c r="G168" s="23"/>
      <c r="H168" s="25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3"/>
      <c r="B169" s="24"/>
      <c r="C169" s="23"/>
      <c r="D169" s="23"/>
      <c r="E169" s="23"/>
      <c r="F169" s="23"/>
      <c r="G169" s="23"/>
      <c r="H169" s="25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3"/>
      <c r="B170" s="24"/>
      <c r="C170" s="23"/>
      <c r="D170" s="23"/>
      <c r="E170" s="23"/>
      <c r="F170" s="23"/>
      <c r="G170" s="23"/>
      <c r="H170" s="25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3"/>
      <c r="B171" s="24"/>
      <c r="C171" s="23"/>
      <c r="D171" s="23"/>
      <c r="E171" s="23"/>
      <c r="F171" s="23"/>
      <c r="G171" s="23"/>
      <c r="H171" s="25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3"/>
      <c r="B172" s="24"/>
      <c r="C172" s="23"/>
      <c r="D172" s="23"/>
      <c r="E172" s="23"/>
      <c r="F172" s="23"/>
      <c r="G172" s="23"/>
      <c r="H172" s="25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3"/>
      <c r="B173" s="24"/>
      <c r="C173" s="23"/>
      <c r="D173" s="23"/>
      <c r="E173" s="23"/>
      <c r="F173" s="23"/>
      <c r="G173" s="23"/>
      <c r="H173" s="25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3"/>
      <c r="B174" s="24"/>
      <c r="C174" s="23"/>
      <c r="D174" s="23"/>
      <c r="E174" s="23"/>
      <c r="F174" s="23"/>
      <c r="G174" s="23"/>
      <c r="H174" s="25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3"/>
      <c r="B175" s="24"/>
      <c r="C175" s="23"/>
      <c r="D175" s="23"/>
      <c r="E175" s="23"/>
      <c r="F175" s="23"/>
      <c r="G175" s="23"/>
      <c r="H175" s="25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3"/>
      <c r="B176" s="24"/>
      <c r="C176" s="23"/>
      <c r="D176" s="23"/>
      <c r="E176" s="23"/>
      <c r="F176" s="23"/>
      <c r="G176" s="23"/>
      <c r="H176" s="25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3"/>
      <c r="B177" s="24"/>
      <c r="C177" s="23"/>
      <c r="D177" s="23"/>
      <c r="E177" s="23"/>
      <c r="F177" s="23"/>
      <c r="G177" s="23"/>
      <c r="H177" s="25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3"/>
      <c r="B178" s="24"/>
      <c r="C178" s="23"/>
      <c r="D178" s="23"/>
      <c r="E178" s="23"/>
      <c r="F178" s="23"/>
      <c r="G178" s="23"/>
      <c r="H178" s="25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3"/>
      <c r="B179" s="24"/>
      <c r="C179" s="23"/>
      <c r="D179" s="23"/>
      <c r="E179" s="23"/>
      <c r="F179" s="23"/>
      <c r="G179" s="23"/>
      <c r="H179" s="25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3"/>
      <c r="B180" s="24"/>
      <c r="C180" s="23"/>
      <c r="D180" s="23"/>
      <c r="E180" s="23"/>
      <c r="F180" s="23"/>
      <c r="G180" s="23"/>
      <c r="H180" s="25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3"/>
      <c r="B181" s="24"/>
      <c r="C181" s="23"/>
      <c r="D181" s="23"/>
      <c r="E181" s="23"/>
      <c r="F181" s="23"/>
      <c r="G181" s="23"/>
      <c r="H181" s="25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3"/>
      <c r="B182" s="24"/>
      <c r="C182" s="23"/>
      <c r="D182" s="23"/>
      <c r="E182" s="23"/>
      <c r="F182" s="23"/>
      <c r="G182" s="23"/>
      <c r="H182" s="25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3"/>
      <c r="B183" s="24"/>
      <c r="C183" s="23"/>
      <c r="D183" s="23"/>
      <c r="E183" s="23"/>
      <c r="F183" s="23"/>
      <c r="G183" s="23"/>
      <c r="H183" s="25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3"/>
      <c r="B184" s="24"/>
      <c r="C184" s="23"/>
      <c r="D184" s="23"/>
      <c r="E184" s="23"/>
      <c r="F184" s="23"/>
      <c r="G184" s="23"/>
      <c r="H184" s="25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23"/>
      <c r="B185" s="24"/>
      <c r="C185" s="23"/>
      <c r="D185" s="23"/>
      <c r="E185" s="23"/>
      <c r="F185" s="23"/>
      <c r="G185" s="23"/>
      <c r="H185" s="25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23"/>
      <c r="B186" s="24"/>
      <c r="C186" s="23"/>
      <c r="D186" s="23"/>
      <c r="E186" s="23"/>
      <c r="F186" s="23"/>
      <c r="G186" s="23"/>
      <c r="H186" s="25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23"/>
      <c r="B187" s="24"/>
      <c r="C187" s="23"/>
      <c r="D187" s="23"/>
      <c r="E187" s="23"/>
      <c r="F187" s="23"/>
      <c r="G187" s="23"/>
      <c r="H187" s="25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23"/>
      <c r="B188" s="24"/>
      <c r="C188" s="23"/>
      <c r="D188" s="23"/>
      <c r="E188" s="23"/>
      <c r="F188" s="23"/>
      <c r="G188" s="23"/>
      <c r="H188" s="25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23"/>
      <c r="B189" s="24"/>
      <c r="C189" s="23"/>
      <c r="D189" s="23"/>
      <c r="E189" s="23"/>
      <c r="F189" s="23"/>
      <c r="G189" s="23"/>
      <c r="H189" s="25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23"/>
      <c r="B190" s="24"/>
      <c r="C190" s="23"/>
      <c r="D190" s="23"/>
      <c r="E190" s="23"/>
      <c r="F190" s="23"/>
      <c r="G190" s="23"/>
      <c r="H190" s="25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23"/>
      <c r="B191" s="24"/>
      <c r="C191" s="23"/>
      <c r="D191" s="23"/>
      <c r="E191" s="23"/>
      <c r="F191" s="23"/>
      <c r="G191" s="23"/>
      <c r="H191" s="25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23"/>
      <c r="B192" s="24"/>
      <c r="C192" s="23"/>
      <c r="D192" s="23"/>
      <c r="E192" s="23"/>
      <c r="F192" s="23"/>
      <c r="G192" s="23"/>
      <c r="H192" s="25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23"/>
      <c r="B193" s="24"/>
      <c r="C193" s="23"/>
      <c r="D193" s="23"/>
      <c r="E193" s="23"/>
      <c r="F193" s="23"/>
      <c r="G193" s="23"/>
      <c r="H193" s="25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23"/>
      <c r="B194" s="24"/>
      <c r="C194" s="23"/>
      <c r="D194" s="23"/>
      <c r="E194" s="23"/>
      <c r="F194" s="23"/>
      <c r="G194" s="23"/>
      <c r="H194" s="25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23"/>
      <c r="B195" s="24"/>
      <c r="C195" s="23"/>
      <c r="D195" s="23"/>
      <c r="E195" s="23"/>
      <c r="F195" s="23"/>
      <c r="G195" s="23"/>
      <c r="H195" s="25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23"/>
      <c r="B196" s="24"/>
      <c r="C196" s="23"/>
      <c r="D196" s="23"/>
      <c r="E196" s="23"/>
      <c r="F196" s="23"/>
      <c r="G196" s="23"/>
      <c r="H196" s="25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23"/>
      <c r="B197" s="24"/>
      <c r="C197" s="23"/>
      <c r="D197" s="23"/>
      <c r="E197" s="23"/>
      <c r="F197" s="23"/>
      <c r="G197" s="23"/>
      <c r="H197" s="25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23"/>
      <c r="B198" s="24"/>
      <c r="C198" s="23"/>
      <c r="D198" s="23"/>
      <c r="E198" s="23"/>
      <c r="F198" s="23"/>
      <c r="G198" s="23"/>
      <c r="H198" s="25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23"/>
      <c r="B199" s="24"/>
      <c r="C199" s="23"/>
      <c r="D199" s="23"/>
      <c r="E199" s="23"/>
      <c r="F199" s="23"/>
      <c r="G199" s="23"/>
      <c r="H199" s="25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23"/>
      <c r="B200" s="24"/>
      <c r="C200" s="23"/>
      <c r="D200" s="23"/>
      <c r="E200" s="23"/>
      <c r="F200" s="23"/>
      <c r="G200" s="23"/>
      <c r="H200" s="25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23"/>
      <c r="B201" s="24"/>
      <c r="C201" s="23"/>
      <c r="D201" s="23"/>
      <c r="E201" s="23"/>
      <c r="F201" s="23"/>
      <c r="G201" s="23"/>
      <c r="H201" s="25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23"/>
      <c r="B202" s="24"/>
      <c r="C202" s="23"/>
      <c r="D202" s="23"/>
      <c r="E202" s="23"/>
      <c r="F202" s="23"/>
      <c r="G202" s="23"/>
      <c r="H202" s="25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23"/>
      <c r="B203" s="24"/>
      <c r="C203" s="23"/>
      <c r="D203" s="23"/>
      <c r="E203" s="23"/>
      <c r="F203" s="23"/>
      <c r="G203" s="23"/>
      <c r="H203" s="25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23"/>
      <c r="B204" s="24"/>
      <c r="C204" s="23"/>
      <c r="D204" s="23"/>
      <c r="E204" s="23"/>
      <c r="F204" s="23"/>
      <c r="G204" s="23"/>
      <c r="H204" s="25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23"/>
      <c r="B205" s="24"/>
      <c r="C205" s="23"/>
      <c r="D205" s="23"/>
      <c r="E205" s="23"/>
      <c r="F205" s="23"/>
      <c r="G205" s="23"/>
      <c r="H205" s="25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23"/>
      <c r="B206" s="24"/>
      <c r="C206" s="23"/>
      <c r="D206" s="23"/>
      <c r="E206" s="23"/>
      <c r="F206" s="23"/>
      <c r="G206" s="23"/>
      <c r="H206" s="25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23"/>
      <c r="B207" s="24"/>
      <c r="C207" s="23"/>
      <c r="D207" s="23"/>
      <c r="E207" s="23"/>
      <c r="F207" s="23"/>
      <c r="G207" s="23"/>
      <c r="H207" s="25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23"/>
      <c r="B208" s="24"/>
      <c r="C208" s="23"/>
      <c r="D208" s="23"/>
      <c r="E208" s="23"/>
      <c r="F208" s="23"/>
      <c r="G208" s="23"/>
      <c r="H208" s="25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23"/>
      <c r="B209" s="24"/>
      <c r="C209" s="23"/>
      <c r="D209" s="23"/>
      <c r="E209" s="23"/>
      <c r="F209" s="23"/>
      <c r="G209" s="23"/>
      <c r="H209" s="25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23"/>
      <c r="B210" s="24"/>
      <c r="C210" s="23"/>
      <c r="D210" s="23"/>
      <c r="E210" s="23"/>
      <c r="F210" s="23"/>
      <c r="G210" s="23"/>
      <c r="H210" s="25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23"/>
      <c r="B211" s="24"/>
      <c r="C211" s="23"/>
      <c r="D211" s="23"/>
      <c r="E211" s="23"/>
      <c r="F211" s="23"/>
      <c r="G211" s="23"/>
      <c r="H211" s="25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23"/>
      <c r="B212" s="24"/>
      <c r="C212" s="23"/>
      <c r="D212" s="23"/>
      <c r="E212" s="23"/>
      <c r="F212" s="23"/>
      <c r="G212" s="23"/>
      <c r="H212" s="25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23"/>
      <c r="B213" s="24"/>
      <c r="C213" s="23"/>
      <c r="D213" s="23"/>
      <c r="E213" s="23"/>
      <c r="F213" s="23"/>
      <c r="G213" s="23"/>
      <c r="H213" s="25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23"/>
      <c r="B214" s="24"/>
      <c r="C214" s="23"/>
      <c r="D214" s="23"/>
      <c r="E214" s="23"/>
      <c r="F214" s="23"/>
      <c r="G214" s="23"/>
      <c r="H214" s="25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23"/>
      <c r="B215" s="24"/>
      <c r="C215" s="23"/>
      <c r="D215" s="23"/>
      <c r="E215" s="23"/>
      <c r="F215" s="23"/>
      <c r="G215" s="23"/>
      <c r="H215" s="25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23"/>
      <c r="B216" s="24"/>
      <c r="C216" s="23"/>
      <c r="D216" s="23"/>
      <c r="E216" s="23"/>
      <c r="F216" s="23"/>
      <c r="G216" s="23"/>
      <c r="H216" s="25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23"/>
      <c r="B217" s="24"/>
      <c r="C217" s="23"/>
      <c r="D217" s="23"/>
      <c r="E217" s="23"/>
      <c r="F217" s="23"/>
      <c r="G217" s="23"/>
      <c r="H217" s="25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23"/>
      <c r="B218" s="24"/>
      <c r="C218" s="23"/>
      <c r="D218" s="23"/>
      <c r="E218" s="23"/>
      <c r="F218" s="23"/>
      <c r="G218" s="23"/>
      <c r="H218" s="25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23"/>
      <c r="B219" s="24"/>
      <c r="C219" s="23"/>
      <c r="D219" s="23"/>
      <c r="E219" s="23"/>
      <c r="F219" s="23"/>
      <c r="G219" s="23"/>
      <c r="H219" s="25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23"/>
      <c r="B220" s="24"/>
      <c r="C220" s="23"/>
      <c r="D220" s="23"/>
      <c r="E220" s="23"/>
      <c r="F220" s="23"/>
      <c r="G220" s="23"/>
      <c r="H220" s="25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A1:J1"/>
    <mergeCell ref="H3:H1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13" workbookViewId="0">
      <selection activeCell="A3" sqref="A3:G19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37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8" t="s">
        <v>10</v>
      </c>
      <c r="I2" s="26" t="s">
        <v>5</v>
      </c>
      <c r="J2" s="33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/>
      <c r="Y2" s="2"/>
      <c r="Z2" s="2"/>
    </row>
    <row r="3" spans="1:26" ht="15.75" customHeight="1">
      <c r="A3" s="8">
        <v>1</v>
      </c>
      <c r="B3" s="39" t="s">
        <v>156</v>
      </c>
      <c r="C3" s="8" t="s">
        <v>157</v>
      </c>
      <c r="D3" s="8" t="s">
        <v>26</v>
      </c>
      <c r="E3" s="8" t="s">
        <v>19</v>
      </c>
      <c r="F3" s="8" t="s">
        <v>158</v>
      </c>
      <c r="G3" s="8" t="s">
        <v>157</v>
      </c>
      <c r="H3" s="58" t="s">
        <v>45</v>
      </c>
      <c r="I3" s="36" t="s">
        <v>19</v>
      </c>
      <c r="J3" s="30">
        <f>7/17</f>
        <v>0.41176470588235292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>
        <v>2</v>
      </c>
      <c r="B4" s="39" t="s">
        <v>159</v>
      </c>
      <c r="C4" s="8" t="s">
        <v>157</v>
      </c>
      <c r="D4" s="8" t="s">
        <v>14</v>
      </c>
      <c r="E4" s="8" t="s">
        <v>19</v>
      </c>
      <c r="F4" s="8" t="s">
        <v>158</v>
      </c>
      <c r="G4" s="8" t="s">
        <v>157</v>
      </c>
      <c r="H4" s="55"/>
      <c r="I4" s="36" t="s">
        <v>15</v>
      </c>
      <c r="J4" s="30">
        <f>8/17</f>
        <v>0.47058823529411764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>
        <v>3</v>
      </c>
      <c r="B5" s="39" t="s">
        <v>160</v>
      </c>
      <c r="C5" s="8" t="s">
        <v>161</v>
      </c>
      <c r="D5" s="8" t="s">
        <v>26</v>
      </c>
      <c r="E5" s="8" t="s">
        <v>15</v>
      </c>
      <c r="F5" s="8" t="s">
        <v>158</v>
      </c>
      <c r="G5" s="8" t="s">
        <v>157</v>
      </c>
      <c r="H5" s="55"/>
      <c r="I5" s="20" t="s">
        <v>23</v>
      </c>
      <c r="J5" s="30">
        <f>2/17</f>
        <v>0.11764705882352941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>
        <v>4</v>
      </c>
      <c r="B6" s="39" t="s">
        <v>162</v>
      </c>
      <c r="C6" s="8" t="s">
        <v>161</v>
      </c>
      <c r="D6" s="8" t="s">
        <v>26</v>
      </c>
      <c r="E6" s="8" t="s">
        <v>15</v>
      </c>
      <c r="F6" s="8" t="s">
        <v>158</v>
      </c>
      <c r="G6" s="8" t="s">
        <v>157</v>
      </c>
      <c r="H6" s="5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>
        <v>5</v>
      </c>
      <c r="B7" s="39" t="s">
        <v>163</v>
      </c>
      <c r="C7" s="8" t="s">
        <v>161</v>
      </c>
      <c r="D7" s="8" t="s">
        <v>14</v>
      </c>
      <c r="E7" s="8" t="s">
        <v>15</v>
      </c>
      <c r="F7" s="8" t="s">
        <v>158</v>
      </c>
      <c r="G7" s="8" t="s">
        <v>157</v>
      </c>
      <c r="H7" s="5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>
        <v>6</v>
      </c>
      <c r="B8" s="39" t="s">
        <v>164</v>
      </c>
      <c r="C8" s="8" t="s">
        <v>161</v>
      </c>
      <c r="D8" s="8" t="s">
        <v>26</v>
      </c>
      <c r="E8" s="8" t="s">
        <v>15</v>
      </c>
      <c r="F8" s="8" t="s">
        <v>158</v>
      </c>
      <c r="G8" s="8" t="s">
        <v>157</v>
      </c>
      <c r="H8" s="5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>
        <v>7</v>
      </c>
      <c r="B9" s="39" t="s">
        <v>165</v>
      </c>
      <c r="C9" s="8" t="s">
        <v>161</v>
      </c>
      <c r="D9" s="8" t="s">
        <v>14</v>
      </c>
      <c r="E9" s="8" t="s">
        <v>19</v>
      </c>
      <c r="F9" s="8" t="s">
        <v>158</v>
      </c>
      <c r="G9" s="8" t="s">
        <v>157</v>
      </c>
      <c r="H9" s="5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">
        <v>8</v>
      </c>
      <c r="B10" s="39" t="s">
        <v>166</v>
      </c>
      <c r="C10" s="8" t="s">
        <v>167</v>
      </c>
      <c r="D10" s="8" t="s">
        <v>14</v>
      </c>
      <c r="E10" s="8" t="s">
        <v>15</v>
      </c>
      <c r="F10" s="8" t="s">
        <v>158</v>
      </c>
      <c r="G10" s="8" t="s">
        <v>157</v>
      </c>
      <c r="H10" s="5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8">
        <v>9</v>
      </c>
      <c r="B11" s="39" t="s">
        <v>168</v>
      </c>
      <c r="C11" s="8" t="s">
        <v>167</v>
      </c>
      <c r="D11" s="8" t="s">
        <v>26</v>
      </c>
      <c r="E11" s="8" t="s">
        <v>19</v>
      </c>
      <c r="F11" s="8" t="s">
        <v>158</v>
      </c>
      <c r="G11" s="8" t="s">
        <v>157</v>
      </c>
      <c r="H11" s="5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8">
        <v>10</v>
      </c>
      <c r="B12" s="39" t="s">
        <v>169</v>
      </c>
      <c r="C12" s="8" t="s">
        <v>76</v>
      </c>
      <c r="D12" s="8" t="s">
        <v>14</v>
      </c>
      <c r="E12" s="8" t="s">
        <v>19</v>
      </c>
      <c r="F12" s="8" t="s">
        <v>158</v>
      </c>
      <c r="G12" s="8" t="s">
        <v>157</v>
      </c>
      <c r="H12" s="5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8">
        <v>11</v>
      </c>
      <c r="B13" s="39" t="s">
        <v>170</v>
      </c>
      <c r="C13" s="8" t="s">
        <v>171</v>
      </c>
      <c r="D13" s="8" t="s">
        <v>26</v>
      </c>
      <c r="E13" s="8" t="s">
        <v>23</v>
      </c>
      <c r="F13" s="8" t="s">
        <v>158</v>
      </c>
      <c r="G13" s="8" t="s">
        <v>157</v>
      </c>
      <c r="H13" s="5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8">
        <v>12</v>
      </c>
      <c r="B14" s="39" t="s">
        <v>172</v>
      </c>
      <c r="C14" s="8" t="s">
        <v>171</v>
      </c>
      <c r="D14" s="8" t="s">
        <v>14</v>
      </c>
      <c r="E14" s="8" t="s">
        <v>15</v>
      </c>
      <c r="F14" s="8" t="s">
        <v>158</v>
      </c>
      <c r="G14" s="8" t="s">
        <v>157</v>
      </c>
      <c r="H14" s="5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8">
        <v>13</v>
      </c>
      <c r="B15" s="39" t="s">
        <v>173</v>
      </c>
      <c r="C15" s="8" t="s">
        <v>171</v>
      </c>
      <c r="D15" s="8" t="s">
        <v>14</v>
      </c>
      <c r="E15" s="8" t="s">
        <v>15</v>
      </c>
      <c r="F15" s="8" t="s">
        <v>158</v>
      </c>
      <c r="G15" s="8" t="s">
        <v>157</v>
      </c>
      <c r="H15" s="5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8">
        <v>14</v>
      </c>
      <c r="B16" s="39" t="s">
        <v>174</v>
      </c>
      <c r="C16" s="8" t="s">
        <v>175</v>
      </c>
      <c r="D16" s="8" t="s">
        <v>14</v>
      </c>
      <c r="E16" s="8" t="s">
        <v>19</v>
      </c>
      <c r="F16" s="8" t="s">
        <v>158</v>
      </c>
      <c r="G16" s="8" t="s">
        <v>157</v>
      </c>
      <c r="H16" s="5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>
        <v>15</v>
      </c>
      <c r="B17" s="39" t="s">
        <v>176</v>
      </c>
      <c r="C17" s="8" t="s">
        <v>177</v>
      </c>
      <c r="D17" s="8" t="s">
        <v>14</v>
      </c>
      <c r="E17" s="8" t="s">
        <v>15</v>
      </c>
      <c r="F17" s="8" t="s">
        <v>158</v>
      </c>
      <c r="G17" s="8" t="s">
        <v>157</v>
      </c>
      <c r="H17" s="5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8">
        <v>16</v>
      </c>
      <c r="B18" s="39" t="s">
        <v>178</v>
      </c>
      <c r="C18" s="8" t="s">
        <v>177</v>
      </c>
      <c r="D18" s="8" t="s">
        <v>14</v>
      </c>
      <c r="E18" s="8" t="s">
        <v>23</v>
      </c>
      <c r="F18" s="8" t="s">
        <v>158</v>
      </c>
      <c r="G18" s="8" t="s">
        <v>157</v>
      </c>
      <c r="H18" s="5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8">
        <v>17</v>
      </c>
      <c r="B19" s="39" t="s">
        <v>179</v>
      </c>
      <c r="C19" s="8" t="s">
        <v>180</v>
      </c>
      <c r="D19" s="8" t="s">
        <v>14</v>
      </c>
      <c r="E19" s="8" t="s">
        <v>19</v>
      </c>
      <c r="F19" s="8" t="s">
        <v>158</v>
      </c>
      <c r="G19" s="8" t="s">
        <v>157</v>
      </c>
      <c r="H19" s="5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/>
      <c r="B20" s="40"/>
      <c r="C20" s="1"/>
      <c r="D20" s="1"/>
      <c r="E20" s="1"/>
      <c r="F20" s="1"/>
      <c r="G20" s="1"/>
      <c r="H20" s="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40"/>
      <c r="C21" s="1"/>
      <c r="D21" s="1"/>
      <c r="E21" s="1"/>
      <c r="F21" s="1"/>
      <c r="G21" s="1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40"/>
      <c r="C22" s="1"/>
      <c r="D22" s="1"/>
      <c r="E22" s="1"/>
      <c r="F22" s="1"/>
      <c r="G22" s="1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40"/>
      <c r="C23" s="1"/>
      <c r="D23" s="1"/>
      <c r="E23" s="1"/>
      <c r="F23" s="1"/>
      <c r="G23" s="1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40"/>
      <c r="C24" s="1"/>
      <c r="D24" s="1"/>
      <c r="E24" s="1"/>
      <c r="F24" s="1"/>
      <c r="G24" s="1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40"/>
      <c r="C25" s="1"/>
      <c r="D25" s="1"/>
      <c r="E25" s="1"/>
      <c r="F25" s="1"/>
      <c r="G25" s="1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40"/>
      <c r="C26" s="1"/>
      <c r="D26" s="1"/>
      <c r="E26" s="1"/>
      <c r="F26" s="1"/>
      <c r="G26" s="1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40"/>
      <c r="C27" s="1"/>
      <c r="D27" s="1"/>
      <c r="E27" s="1"/>
      <c r="F27" s="1"/>
      <c r="G27" s="1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40"/>
      <c r="C28" s="1"/>
      <c r="D28" s="1"/>
      <c r="E28" s="1"/>
      <c r="F28" s="1"/>
      <c r="G28" s="1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40"/>
      <c r="C29" s="1"/>
      <c r="D29" s="1"/>
      <c r="E29" s="1"/>
      <c r="F29" s="1"/>
      <c r="G29" s="1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40"/>
      <c r="C30" s="1"/>
      <c r="D30" s="1"/>
      <c r="E30" s="1"/>
      <c r="F30" s="1"/>
      <c r="G30" s="1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40"/>
      <c r="C31" s="1"/>
      <c r="D31" s="1"/>
      <c r="E31" s="1"/>
      <c r="F31" s="1"/>
      <c r="G31" s="1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40"/>
      <c r="C32" s="1"/>
      <c r="D32" s="1"/>
      <c r="E32" s="1"/>
      <c r="F32" s="1"/>
      <c r="G32" s="1"/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40"/>
      <c r="C33" s="1"/>
      <c r="D33" s="1"/>
      <c r="E33" s="1"/>
      <c r="F33" s="1"/>
      <c r="G33" s="1"/>
      <c r="H33" s="1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40"/>
      <c r="C34" s="1"/>
      <c r="D34" s="1"/>
      <c r="E34" s="1"/>
      <c r="F34" s="1"/>
      <c r="G34" s="1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40"/>
      <c r="C35" s="1"/>
      <c r="D35" s="1"/>
      <c r="E35" s="1"/>
      <c r="F35" s="1"/>
      <c r="G35" s="1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40"/>
      <c r="C36" s="1"/>
      <c r="D36" s="1"/>
      <c r="E36" s="1"/>
      <c r="F36" s="1"/>
      <c r="G36" s="1"/>
      <c r="H36" s="1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40"/>
      <c r="C37" s="1"/>
      <c r="D37" s="1"/>
      <c r="E37" s="1"/>
      <c r="F37" s="1"/>
      <c r="G37" s="1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40"/>
      <c r="C38" s="1"/>
      <c r="D38" s="1"/>
      <c r="E38" s="1"/>
      <c r="F38" s="1"/>
      <c r="G38" s="1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40"/>
      <c r="C39" s="1"/>
      <c r="D39" s="1"/>
      <c r="E39" s="1"/>
      <c r="F39" s="1"/>
      <c r="G39" s="1"/>
      <c r="H39" s="1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40"/>
      <c r="C40" s="1"/>
      <c r="D40" s="1"/>
      <c r="E40" s="1"/>
      <c r="F40" s="1"/>
      <c r="G40" s="1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40"/>
      <c r="C41" s="1"/>
      <c r="D41" s="1"/>
      <c r="E41" s="1"/>
      <c r="F41" s="1"/>
      <c r="G41" s="1"/>
      <c r="H41" s="1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40"/>
      <c r="C42" s="1"/>
      <c r="D42" s="1"/>
      <c r="E42" s="1"/>
      <c r="F42" s="1"/>
      <c r="G42" s="1"/>
      <c r="H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40"/>
      <c r="C43" s="1"/>
      <c r="D43" s="1"/>
      <c r="E43" s="1"/>
      <c r="F43" s="1"/>
      <c r="G43" s="1"/>
      <c r="H43" s="1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40"/>
      <c r="C44" s="1"/>
      <c r="D44" s="1"/>
      <c r="E44" s="1"/>
      <c r="F44" s="1"/>
      <c r="G44" s="1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40"/>
      <c r="C45" s="1"/>
      <c r="D45" s="1"/>
      <c r="E45" s="1"/>
      <c r="F45" s="1"/>
      <c r="G45" s="1"/>
      <c r="H45" s="1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40"/>
      <c r="C46" s="1"/>
      <c r="D46" s="1"/>
      <c r="E46" s="1"/>
      <c r="F46" s="1"/>
      <c r="G46" s="1"/>
      <c r="H46" s="1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40"/>
      <c r="C47" s="1"/>
      <c r="D47" s="1"/>
      <c r="E47" s="1"/>
      <c r="F47" s="1"/>
      <c r="G47" s="1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40"/>
      <c r="C48" s="1"/>
      <c r="D48" s="1"/>
      <c r="E48" s="1"/>
      <c r="F48" s="1"/>
      <c r="G48" s="1"/>
      <c r="H48" s="1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40"/>
      <c r="C49" s="1"/>
      <c r="D49" s="1"/>
      <c r="E49" s="1"/>
      <c r="F49" s="1"/>
      <c r="G49" s="1"/>
      <c r="H49" s="1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40"/>
      <c r="C50" s="1"/>
      <c r="D50" s="1"/>
      <c r="E50" s="1"/>
      <c r="F50" s="1"/>
      <c r="G50" s="1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40"/>
      <c r="C51" s="1"/>
      <c r="D51" s="1"/>
      <c r="E51" s="1"/>
      <c r="F51" s="1"/>
      <c r="G51" s="1"/>
      <c r="H51" s="1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40"/>
      <c r="C52" s="1"/>
      <c r="D52" s="1"/>
      <c r="E52" s="1"/>
      <c r="F52" s="1"/>
      <c r="G52" s="1"/>
      <c r="H52" s="1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40"/>
      <c r="C53" s="1"/>
      <c r="D53" s="1"/>
      <c r="E53" s="1"/>
      <c r="F53" s="1"/>
      <c r="G53" s="1"/>
      <c r="H53" s="1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40"/>
      <c r="C54" s="1"/>
      <c r="D54" s="1"/>
      <c r="E54" s="1"/>
      <c r="F54" s="1"/>
      <c r="G54" s="1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40"/>
      <c r="C55" s="1"/>
      <c r="D55" s="1"/>
      <c r="E55" s="1"/>
      <c r="F55" s="1"/>
      <c r="G55" s="1"/>
      <c r="H55" s="1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40"/>
      <c r="C56" s="1"/>
      <c r="D56" s="1"/>
      <c r="E56" s="1"/>
      <c r="F56" s="1"/>
      <c r="G56" s="1"/>
      <c r="H56" s="1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40"/>
      <c r="C57" s="1"/>
      <c r="D57" s="1"/>
      <c r="E57" s="1"/>
      <c r="F57" s="1"/>
      <c r="G57" s="1"/>
      <c r="H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40"/>
      <c r="C58" s="1"/>
      <c r="D58" s="1"/>
      <c r="E58" s="1"/>
      <c r="F58" s="1"/>
      <c r="G58" s="1"/>
      <c r="H58" s="1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40"/>
      <c r="C59" s="1"/>
      <c r="D59" s="1"/>
      <c r="E59" s="1"/>
      <c r="F59" s="1"/>
      <c r="G59" s="1"/>
      <c r="H59" s="1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40"/>
      <c r="C60" s="1"/>
      <c r="D60" s="1"/>
      <c r="E60" s="1"/>
      <c r="F60" s="1"/>
      <c r="G60" s="1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40"/>
      <c r="C61" s="1"/>
      <c r="D61" s="1"/>
      <c r="E61" s="1"/>
      <c r="F61" s="1"/>
      <c r="G61" s="1"/>
      <c r="H61" s="1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40"/>
      <c r="C62" s="1"/>
      <c r="D62" s="1"/>
      <c r="E62" s="1"/>
      <c r="F62" s="1"/>
      <c r="G62" s="1"/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40"/>
      <c r="C63" s="1"/>
      <c r="D63" s="1"/>
      <c r="E63" s="1"/>
      <c r="F63" s="1"/>
      <c r="G63" s="1"/>
      <c r="H63" s="1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40"/>
      <c r="C64" s="1"/>
      <c r="D64" s="1"/>
      <c r="E64" s="1"/>
      <c r="F64" s="1"/>
      <c r="G64" s="1"/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40"/>
      <c r="C65" s="1"/>
      <c r="D65" s="1"/>
      <c r="E65" s="1"/>
      <c r="F65" s="1"/>
      <c r="G65" s="1"/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40"/>
      <c r="C66" s="1"/>
      <c r="D66" s="1"/>
      <c r="E66" s="1"/>
      <c r="F66" s="1"/>
      <c r="G66" s="1"/>
      <c r="H66" s="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40"/>
      <c r="C67" s="1"/>
      <c r="D67" s="1"/>
      <c r="E67" s="1"/>
      <c r="F67" s="1"/>
      <c r="G67" s="1"/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40"/>
      <c r="C68" s="1"/>
      <c r="D68" s="1"/>
      <c r="E68" s="1"/>
      <c r="F68" s="1"/>
      <c r="G68" s="1"/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40"/>
      <c r="C69" s="1"/>
      <c r="D69" s="1"/>
      <c r="E69" s="1"/>
      <c r="F69" s="1"/>
      <c r="G69" s="1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40"/>
      <c r="C70" s="1"/>
      <c r="D70" s="1"/>
      <c r="E70" s="1"/>
      <c r="F70" s="1"/>
      <c r="G70" s="1"/>
      <c r="H70" s="1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40"/>
      <c r="C71" s="1"/>
      <c r="D71" s="1"/>
      <c r="E71" s="1"/>
      <c r="F71" s="1"/>
      <c r="G71" s="1"/>
      <c r="H71" s="1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40"/>
      <c r="C72" s="1"/>
      <c r="D72" s="1"/>
      <c r="E72" s="1"/>
      <c r="F72" s="1"/>
      <c r="G72" s="1"/>
      <c r="H72" s="1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40"/>
      <c r="C73" s="1"/>
      <c r="D73" s="1"/>
      <c r="E73" s="1"/>
      <c r="F73" s="1"/>
      <c r="G73" s="1"/>
      <c r="H73" s="1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40"/>
      <c r="C74" s="1"/>
      <c r="D74" s="1"/>
      <c r="E74" s="1"/>
      <c r="F74" s="1"/>
      <c r="G74" s="1"/>
      <c r="H74" s="1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40"/>
      <c r="C75" s="1"/>
      <c r="D75" s="1"/>
      <c r="E75" s="1"/>
      <c r="F75" s="1"/>
      <c r="G75" s="1"/>
      <c r="H75" s="1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40"/>
      <c r="C76" s="1"/>
      <c r="D76" s="1"/>
      <c r="E76" s="1"/>
      <c r="F76" s="1"/>
      <c r="G76" s="1"/>
      <c r="H76" s="1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40"/>
      <c r="C77" s="1"/>
      <c r="D77" s="1"/>
      <c r="E77" s="1"/>
      <c r="F77" s="1"/>
      <c r="G77" s="1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40"/>
      <c r="C78" s="1"/>
      <c r="D78" s="1"/>
      <c r="E78" s="1"/>
      <c r="F78" s="1"/>
      <c r="G78" s="1"/>
      <c r="H78" s="1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40"/>
      <c r="C79" s="1"/>
      <c r="D79" s="1"/>
      <c r="E79" s="1"/>
      <c r="F79" s="1"/>
      <c r="G79" s="1"/>
      <c r="H79" s="1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40"/>
      <c r="C80" s="1"/>
      <c r="D80" s="1"/>
      <c r="E80" s="1"/>
      <c r="F80" s="1"/>
      <c r="G80" s="1"/>
      <c r="H80" s="1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40"/>
      <c r="C81" s="1"/>
      <c r="D81" s="1"/>
      <c r="E81" s="1"/>
      <c r="F81" s="1"/>
      <c r="G81" s="1"/>
      <c r="H81" s="1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40"/>
      <c r="C82" s="1"/>
      <c r="D82" s="1"/>
      <c r="E82" s="1"/>
      <c r="F82" s="1"/>
      <c r="G82" s="1"/>
      <c r="H82" s="1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40"/>
      <c r="C83" s="1"/>
      <c r="D83" s="1"/>
      <c r="E83" s="1"/>
      <c r="F83" s="1"/>
      <c r="G83" s="1"/>
      <c r="H83" s="1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40"/>
      <c r="C84" s="1"/>
      <c r="D84" s="1"/>
      <c r="E84" s="1"/>
      <c r="F84" s="1"/>
      <c r="G84" s="1"/>
      <c r="H84" s="1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40"/>
      <c r="C85" s="1"/>
      <c r="D85" s="1"/>
      <c r="E85" s="1"/>
      <c r="F85" s="1"/>
      <c r="G85" s="1"/>
      <c r="H85" s="1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40"/>
      <c r="C86" s="1"/>
      <c r="D86" s="1"/>
      <c r="E86" s="1"/>
      <c r="F86" s="1"/>
      <c r="G86" s="1"/>
      <c r="H86" s="1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40"/>
      <c r="C87" s="1"/>
      <c r="D87" s="1"/>
      <c r="E87" s="1"/>
      <c r="F87" s="1"/>
      <c r="G87" s="1"/>
      <c r="H87" s="1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40"/>
      <c r="C88" s="1"/>
      <c r="D88" s="1"/>
      <c r="E88" s="1"/>
      <c r="F88" s="1"/>
      <c r="G88" s="1"/>
      <c r="H88" s="1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40"/>
      <c r="C89" s="1"/>
      <c r="D89" s="1"/>
      <c r="E89" s="1"/>
      <c r="F89" s="1"/>
      <c r="G89" s="1"/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40"/>
      <c r="C90" s="1"/>
      <c r="D90" s="1"/>
      <c r="E90" s="1"/>
      <c r="F90" s="1"/>
      <c r="G90" s="1"/>
      <c r="H90" s="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40"/>
      <c r="C91" s="1"/>
      <c r="D91" s="1"/>
      <c r="E91" s="1"/>
      <c r="F91" s="1"/>
      <c r="G91" s="1"/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40"/>
      <c r="C92" s="1"/>
      <c r="D92" s="1"/>
      <c r="E92" s="1"/>
      <c r="F92" s="1"/>
      <c r="G92" s="1"/>
      <c r="H92" s="1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40"/>
      <c r="C93" s="1"/>
      <c r="D93" s="1"/>
      <c r="E93" s="1"/>
      <c r="F93" s="1"/>
      <c r="G93" s="1"/>
      <c r="H93" s="1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40"/>
      <c r="C94" s="1"/>
      <c r="D94" s="1"/>
      <c r="E94" s="1"/>
      <c r="F94" s="1"/>
      <c r="G94" s="1"/>
      <c r="H94" s="1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40"/>
      <c r="C95" s="1"/>
      <c r="D95" s="1"/>
      <c r="E95" s="1"/>
      <c r="F95" s="1"/>
      <c r="G95" s="1"/>
      <c r="H95" s="1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40"/>
      <c r="C96" s="1"/>
      <c r="D96" s="1"/>
      <c r="E96" s="1"/>
      <c r="F96" s="1"/>
      <c r="G96" s="1"/>
      <c r="H96" s="1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40"/>
      <c r="C97" s="1"/>
      <c r="D97" s="1"/>
      <c r="E97" s="1"/>
      <c r="F97" s="1"/>
      <c r="G97" s="1"/>
      <c r="H97" s="1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40"/>
      <c r="C98" s="1"/>
      <c r="D98" s="1"/>
      <c r="E98" s="1"/>
      <c r="F98" s="1"/>
      <c r="G98" s="1"/>
      <c r="H98" s="1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40"/>
      <c r="C99" s="1"/>
      <c r="D99" s="1"/>
      <c r="E99" s="1"/>
      <c r="F99" s="1"/>
      <c r="G99" s="1"/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40"/>
      <c r="C100" s="1"/>
      <c r="D100" s="1"/>
      <c r="E100" s="1"/>
      <c r="F100" s="1"/>
      <c r="G100" s="1"/>
      <c r="H100" s="1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40"/>
      <c r="C101" s="1"/>
      <c r="D101" s="1"/>
      <c r="E101" s="1"/>
      <c r="F101" s="1"/>
      <c r="G101" s="1"/>
      <c r="H101" s="1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40"/>
      <c r="C102" s="1"/>
      <c r="D102" s="1"/>
      <c r="E102" s="1"/>
      <c r="F102" s="1"/>
      <c r="G102" s="1"/>
      <c r="H102" s="1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40"/>
      <c r="C103" s="1"/>
      <c r="D103" s="1"/>
      <c r="E103" s="1"/>
      <c r="F103" s="1"/>
      <c r="G103" s="1"/>
      <c r="H103" s="1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40"/>
      <c r="C104" s="1"/>
      <c r="D104" s="1"/>
      <c r="E104" s="1"/>
      <c r="F104" s="1"/>
      <c r="G104" s="1"/>
      <c r="H104" s="1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40"/>
      <c r="C105" s="1"/>
      <c r="D105" s="1"/>
      <c r="E105" s="1"/>
      <c r="F105" s="1"/>
      <c r="G105" s="1"/>
      <c r="H105" s="1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40"/>
      <c r="C106" s="1"/>
      <c r="D106" s="1"/>
      <c r="E106" s="1"/>
      <c r="F106" s="1"/>
      <c r="G106" s="1"/>
      <c r="H106" s="1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40"/>
      <c r="C107" s="1"/>
      <c r="D107" s="1"/>
      <c r="E107" s="1"/>
      <c r="F107" s="1"/>
      <c r="G107" s="1"/>
      <c r="H107" s="1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40"/>
      <c r="C108" s="1"/>
      <c r="D108" s="1"/>
      <c r="E108" s="1"/>
      <c r="F108" s="1"/>
      <c r="G108" s="1"/>
      <c r="H108" s="1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40"/>
      <c r="C109" s="1"/>
      <c r="D109" s="1"/>
      <c r="E109" s="1"/>
      <c r="F109" s="1"/>
      <c r="G109" s="1"/>
      <c r="H109" s="1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40"/>
      <c r="C110" s="1"/>
      <c r="D110" s="1"/>
      <c r="E110" s="1"/>
      <c r="F110" s="1"/>
      <c r="G110" s="1"/>
      <c r="H110" s="1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40"/>
      <c r="C111" s="1"/>
      <c r="D111" s="1"/>
      <c r="E111" s="1"/>
      <c r="F111" s="1"/>
      <c r="G111" s="1"/>
      <c r="H111" s="1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40"/>
      <c r="C112" s="1"/>
      <c r="D112" s="1"/>
      <c r="E112" s="1"/>
      <c r="F112" s="1"/>
      <c r="G112" s="1"/>
      <c r="H112" s="1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40"/>
      <c r="C113" s="1"/>
      <c r="D113" s="1"/>
      <c r="E113" s="1"/>
      <c r="F113" s="1"/>
      <c r="G113" s="1"/>
      <c r="H113" s="1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40"/>
      <c r="C114" s="1"/>
      <c r="D114" s="1"/>
      <c r="E114" s="1"/>
      <c r="F114" s="1"/>
      <c r="G114" s="1"/>
      <c r="H114" s="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40"/>
      <c r="C115" s="1"/>
      <c r="D115" s="1"/>
      <c r="E115" s="1"/>
      <c r="F115" s="1"/>
      <c r="G115" s="1"/>
      <c r="H115" s="1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40"/>
      <c r="C116" s="1"/>
      <c r="D116" s="1"/>
      <c r="E116" s="1"/>
      <c r="F116" s="1"/>
      <c r="G116" s="1"/>
      <c r="H116" s="1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40"/>
      <c r="C117" s="1"/>
      <c r="D117" s="1"/>
      <c r="E117" s="1"/>
      <c r="F117" s="1"/>
      <c r="G117" s="1"/>
      <c r="H117" s="1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40"/>
      <c r="C118" s="1"/>
      <c r="D118" s="1"/>
      <c r="E118" s="1"/>
      <c r="F118" s="1"/>
      <c r="G118" s="1"/>
      <c r="H118" s="1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40"/>
      <c r="C119" s="1"/>
      <c r="D119" s="1"/>
      <c r="E119" s="1"/>
      <c r="F119" s="1"/>
      <c r="G119" s="1"/>
      <c r="H119" s="1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40"/>
      <c r="C120" s="1"/>
      <c r="D120" s="1"/>
      <c r="E120" s="1"/>
      <c r="F120" s="1"/>
      <c r="G120" s="1"/>
      <c r="H120" s="1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40"/>
      <c r="C121" s="1"/>
      <c r="D121" s="1"/>
      <c r="E121" s="1"/>
      <c r="F121" s="1"/>
      <c r="G121" s="1"/>
      <c r="H121" s="1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40"/>
      <c r="C122" s="1"/>
      <c r="D122" s="1"/>
      <c r="E122" s="1"/>
      <c r="F122" s="1"/>
      <c r="G122" s="1"/>
      <c r="H122" s="1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40"/>
      <c r="C123" s="1"/>
      <c r="D123" s="1"/>
      <c r="E123" s="1"/>
      <c r="F123" s="1"/>
      <c r="G123" s="1"/>
      <c r="H123" s="1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40"/>
      <c r="C124" s="1"/>
      <c r="D124" s="1"/>
      <c r="E124" s="1"/>
      <c r="F124" s="1"/>
      <c r="G124" s="1"/>
      <c r="H124" s="1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40"/>
      <c r="C125" s="1"/>
      <c r="D125" s="1"/>
      <c r="E125" s="1"/>
      <c r="F125" s="1"/>
      <c r="G125" s="1"/>
      <c r="H125" s="1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40"/>
      <c r="C126" s="1"/>
      <c r="D126" s="1"/>
      <c r="E126" s="1"/>
      <c r="F126" s="1"/>
      <c r="G126" s="1"/>
      <c r="H126" s="1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40"/>
      <c r="C127" s="1"/>
      <c r="D127" s="1"/>
      <c r="E127" s="1"/>
      <c r="F127" s="1"/>
      <c r="G127" s="1"/>
      <c r="H127" s="1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40"/>
      <c r="C128" s="1"/>
      <c r="D128" s="1"/>
      <c r="E128" s="1"/>
      <c r="F128" s="1"/>
      <c r="G128" s="1"/>
      <c r="H128" s="1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40"/>
      <c r="C129" s="1"/>
      <c r="D129" s="1"/>
      <c r="E129" s="1"/>
      <c r="F129" s="1"/>
      <c r="G129" s="1"/>
      <c r="H129" s="1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40"/>
      <c r="C130" s="1"/>
      <c r="D130" s="1"/>
      <c r="E130" s="1"/>
      <c r="F130" s="1"/>
      <c r="G130" s="1"/>
      <c r="H130" s="1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40"/>
      <c r="C131" s="1"/>
      <c r="D131" s="1"/>
      <c r="E131" s="1"/>
      <c r="F131" s="1"/>
      <c r="G131" s="1"/>
      <c r="H131" s="1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40"/>
      <c r="C132" s="1"/>
      <c r="D132" s="1"/>
      <c r="E132" s="1"/>
      <c r="F132" s="1"/>
      <c r="G132" s="1"/>
      <c r="H132" s="1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40"/>
      <c r="C133" s="1"/>
      <c r="D133" s="1"/>
      <c r="E133" s="1"/>
      <c r="F133" s="1"/>
      <c r="G133" s="1"/>
      <c r="H133" s="1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40"/>
      <c r="C134" s="1"/>
      <c r="D134" s="1"/>
      <c r="E134" s="1"/>
      <c r="F134" s="1"/>
      <c r="G134" s="1"/>
      <c r="H134" s="1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40"/>
      <c r="C135" s="1"/>
      <c r="D135" s="1"/>
      <c r="E135" s="1"/>
      <c r="F135" s="1"/>
      <c r="G135" s="1"/>
      <c r="H135" s="1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40"/>
      <c r="C136" s="1"/>
      <c r="D136" s="1"/>
      <c r="E136" s="1"/>
      <c r="F136" s="1"/>
      <c r="G136" s="1"/>
      <c r="H136" s="1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40"/>
      <c r="C137" s="1"/>
      <c r="D137" s="1"/>
      <c r="E137" s="1"/>
      <c r="F137" s="1"/>
      <c r="G137" s="1"/>
      <c r="H137" s="1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40"/>
      <c r="C138" s="1"/>
      <c r="D138" s="1"/>
      <c r="E138" s="1"/>
      <c r="F138" s="1"/>
      <c r="G138" s="1"/>
      <c r="H138" s="1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40"/>
      <c r="C139" s="1"/>
      <c r="D139" s="1"/>
      <c r="E139" s="1"/>
      <c r="F139" s="1"/>
      <c r="G139" s="1"/>
      <c r="H139" s="1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40"/>
      <c r="C140" s="1"/>
      <c r="D140" s="1"/>
      <c r="E140" s="1"/>
      <c r="F140" s="1"/>
      <c r="G140" s="1"/>
      <c r="H140" s="1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40"/>
      <c r="C141" s="1"/>
      <c r="D141" s="1"/>
      <c r="E141" s="1"/>
      <c r="F141" s="1"/>
      <c r="G141" s="1"/>
      <c r="H141" s="1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40"/>
      <c r="C142" s="1"/>
      <c r="D142" s="1"/>
      <c r="E142" s="1"/>
      <c r="F142" s="1"/>
      <c r="G142" s="1"/>
      <c r="H142" s="1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40"/>
      <c r="C143" s="1"/>
      <c r="D143" s="1"/>
      <c r="E143" s="1"/>
      <c r="F143" s="1"/>
      <c r="G143" s="1"/>
      <c r="H143" s="1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40"/>
      <c r="C144" s="1"/>
      <c r="D144" s="1"/>
      <c r="E144" s="1"/>
      <c r="F144" s="1"/>
      <c r="G144" s="1"/>
      <c r="H144" s="1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40"/>
      <c r="C145" s="1"/>
      <c r="D145" s="1"/>
      <c r="E145" s="1"/>
      <c r="F145" s="1"/>
      <c r="G145" s="1"/>
      <c r="H145" s="1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40"/>
      <c r="C146" s="1"/>
      <c r="D146" s="1"/>
      <c r="E146" s="1"/>
      <c r="F146" s="1"/>
      <c r="G146" s="1"/>
      <c r="H146" s="1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40"/>
      <c r="C147" s="1"/>
      <c r="D147" s="1"/>
      <c r="E147" s="1"/>
      <c r="F147" s="1"/>
      <c r="G147" s="1"/>
      <c r="H147" s="1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40"/>
      <c r="C148" s="1"/>
      <c r="D148" s="1"/>
      <c r="E148" s="1"/>
      <c r="F148" s="1"/>
      <c r="G148" s="1"/>
      <c r="H148" s="1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40"/>
      <c r="C149" s="1"/>
      <c r="D149" s="1"/>
      <c r="E149" s="1"/>
      <c r="F149" s="1"/>
      <c r="G149" s="1"/>
      <c r="H149" s="1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40"/>
      <c r="C150" s="1"/>
      <c r="D150" s="1"/>
      <c r="E150" s="1"/>
      <c r="F150" s="1"/>
      <c r="G150" s="1"/>
      <c r="H150" s="1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40"/>
      <c r="C151" s="1"/>
      <c r="D151" s="1"/>
      <c r="E151" s="1"/>
      <c r="F151" s="1"/>
      <c r="G151" s="1"/>
      <c r="H151" s="1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40"/>
      <c r="C152" s="1"/>
      <c r="D152" s="1"/>
      <c r="E152" s="1"/>
      <c r="F152" s="1"/>
      <c r="G152" s="1"/>
      <c r="H152" s="1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40"/>
      <c r="C153" s="1"/>
      <c r="D153" s="1"/>
      <c r="E153" s="1"/>
      <c r="F153" s="1"/>
      <c r="G153" s="1"/>
      <c r="H153" s="1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40"/>
      <c r="C154" s="1"/>
      <c r="D154" s="1"/>
      <c r="E154" s="1"/>
      <c r="F154" s="1"/>
      <c r="G154" s="1"/>
      <c r="H154" s="1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40"/>
      <c r="C155" s="1"/>
      <c r="D155" s="1"/>
      <c r="E155" s="1"/>
      <c r="F155" s="1"/>
      <c r="G155" s="1"/>
      <c r="H155" s="1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40"/>
      <c r="C156" s="1"/>
      <c r="D156" s="1"/>
      <c r="E156" s="1"/>
      <c r="F156" s="1"/>
      <c r="G156" s="1"/>
      <c r="H156" s="1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40"/>
      <c r="C157" s="1"/>
      <c r="D157" s="1"/>
      <c r="E157" s="1"/>
      <c r="F157" s="1"/>
      <c r="G157" s="1"/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40"/>
      <c r="C158" s="1"/>
      <c r="D158" s="1"/>
      <c r="E158" s="1"/>
      <c r="F158" s="1"/>
      <c r="G158" s="1"/>
      <c r="H158" s="1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40"/>
      <c r="C159" s="1"/>
      <c r="D159" s="1"/>
      <c r="E159" s="1"/>
      <c r="F159" s="1"/>
      <c r="G159" s="1"/>
      <c r="H159" s="1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40"/>
      <c r="C160" s="1"/>
      <c r="D160" s="1"/>
      <c r="E160" s="1"/>
      <c r="F160" s="1"/>
      <c r="G160" s="1"/>
      <c r="H160" s="1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40"/>
      <c r="C161" s="1"/>
      <c r="D161" s="1"/>
      <c r="E161" s="1"/>
      <c r="F161" s="1"/>
      <c r="G161" s="1"/>
      <c r="H161" s="1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40"/>
      <c r="C162" s="1"/>
      <c r="D162" s="1"/>
      <c r="E162" s="1"/>
      <c r="F162" s="1"/>
      <c r="G162" s="1"/>
      <c r="H162" s="1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40"/>
      <c r="C163" s="1"/>
      <c r="D163" s="1"/>
      <c r="E163" s="1"/>
      <c r="F163" s="1"/>
      <c r="G163" s="1"/>
      <c r="H163" s="1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40"/>
      <c r="C164" s="1"/>
      <c r="D164" s="1"/>
      <c r="E164" s="1"/>
      <c r="F164" s="1"/>
      <c r="G164" s="1"/>
      <c r="H164" s="1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40"/>
      <c r="C165" s="1"/>
      <c r="D165" s="1"/>
      <c r="E165" s="1"/>
      <c r="F165" s="1"/>
      <c r="G165" s="1"/>
      <c r="H165" s="1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40"/>
      <c r="C166" s="1"/>
      <c r="D166" s="1"/>
      <c r="E166" s="1"/>
      <c r="F166" s="1"/>
      <c r="G166" s="1"/>
      <c r="H166" s="1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40"/>
      <c r="C167" s="1"/>
      <c r="D167" s="1"/>
      <c r="E167" s="1"/>
      <c r="F167" s="1"/>
      <c r="G167" s="1"/>
      <c r="H167" s="1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40"/>
      <c r="C168" s="1"/>
      <c r="D168" s="1"/>
      <c r="E168" s="1"/>
      <c r="F168" s="1"/>
      <c r="G168" s="1"/>
      <c r="H168" s="1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40"/>
      <c r="C169" s="1"/>
      <c r="D169" s="1"/>
      <c r="E169" s="1"/>
      <c r="F169" s="1"/>
      <c r="G169" s="1"/>
      <c r="H169" s="1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40"/>
      <c r="C170" s="1"/>
      <c r="D170" s="1"/>
      <c r="E170" s="1"/>
      <c r="F170" s="1"/>
      <c r="G170" s="1"/>
      <c r="H170" s="1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40"/>
      <c r="C171" s="1"/>
      <c r="D171" s="1"/>
      <c r="E171" s="1"/>
      <c r="F171" s="1"/>
      <c r="G171" s="1"/>
      <c r="H171" s="1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40"/>
      <c r="C172" s="1"/>
      <c r="D172" s="1"/>
      <c r="E172" s="1"/>
      <c r="F172" s="1"/>
      <c r="G172" s="1"/>
      <c r="H172" s="1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40"/>
      <c r="C173" s="1"/>
      <c r="D173" s="1"/>
      <c r="E173" s="1"/>
      <c r="F173" s="1"/>
      <c r="G173" s="1"/>
      <c r="H173" s="1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40"/>
      <c r="C174" s="1"/>
      <c r="D174" s="1"/>
      <c r="E174" s="1"/>
      <c r="F174" s="1"/>
      <c r="G174" s="1"/>
      <c r="H174" s="1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40"/>
      <c r="C175" s="1"/>
      <c r="D175" s="1"/>
      <c r="E175" s="1"/>
      <c r="F175" s="1"/>
      <c r="G175" s="1"/>
      <c r="H175" s="1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40"/>
      <c r="C176" s="1"/>
      <c r="D176" s="1"/>
      <c r="E176" s="1"/>
      <c r="F176" s="1"/>
      <c r="G176" s="1"/>
      <c r="H176" s="1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40"/>
      <c r="C177" s="1"/>
      <c r="D177" s="1"/>
      <c r="E177" s="1"/>
      <c r="F177" s="1"/>
      <c r="G177" s="1"/>
      <c r="H177" s="1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40"/>
      <c r="C178" s="1"/>
      <c r="D178" s="1"/>
      <c r="E178" s="1"/>
      <c r="F178" s="1"/>
      <c r="G178" s="1"/>
      <c r="H178" s="1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40"/>
      <c r="C179" s="1"/>
      <c r="D179" s="1"/>
      <c r="E179" s="1"/>
      <c r="F179" s="1"/>
      <c r="G179" s="1"/>
      <c r="H179" s="1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40"/>
      <c r="C180" s="1"/>
      <c r="D180" s="1"/>
      <c r="E180" s="1"/>
      <c r="F180" s="1"/>
      <c r="G180" s="1"/>
      <c r="H180" s="1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40"/>
      <c r="C181" s="1"/>
      <c r="D181" s="1"/>
      <c r="E181" s="1"/>
      <c r="F181" s="1"/>
      <c r="G181" s="1"/>
      <c r="H181" s="1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40"/>
      <c r="C182" s="1"/>
      <c r="D182" s="1"/>
      <c r="E182" s="1"/>
      <c r="F182" s="1"/>
      <c r="G182" s="1"/>
      <c r="H182" s="1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40"/>
      <c r="C183" s="1"/>
      <c r="D183" s="1"/>
      <c r="E183" s="1"/>
      <c r="F183" s="1"/>
      <c r="G183" s="1"/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40"/>
      <c r="C184" s="1"/>
      <c r="D184" s="1"/>
      <c r="E184" s="1"/>
      <c r="F184" s="1"/>
      <c r="G184" s="1"/>
      <c r="H184" s="1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40"/>
      <c r="C185" s="1"/>
      <c r="D185" s="1"/>
      <c r="E185" s="1"/>
      <c r="F185" s="1"/>
      <c r="G185" s="1"/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40"/>
      <c r="C186" s="1"/>
      <c r="D186" s="1"/>
      <c r="E186" s="1"/>
      <c r="F186" s="1"/>
      <c r="G186" s="1"/>
      <c r="H186" s="1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40"/>
      <c r="C187" s="1"/>
      <c r="D187" s="1"/>
      <c r="E187" s="1"/>
      <c r="F187" s="1"/>
      <c r="G187" s="1"/>
      <c r="H187" s="1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40"/>
      <c r="C188" s="1"/>
      <c r="D188" s="1"/>
      <c r="E188" s="1"/>
      <c r="F188" s="1"/>
      <c r="G188" s="1"/>
      <c r="H188" s="1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40"/>
      <c r="C189" s="1"/>
      <c r="D189" s="1"/>
      <c r="E189" s="1"/>
      <c r="F189" s="1"/>
      <c r="G189" s="1"/>
      <c r="H189" s="1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40"/>
      <c r="C190" s="1"/>
      <c r="D190" s="1"/>
      <c r="E190" s="1"/>
      <c r="F190" s="1"/>
      <c r="G190" s="1"/>
      <c r="H190" s="1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40"/>
      <c r="C191" s="1"/>
      <c r="D191" s="1"/>
      <c r="E191" s="1"/>
      <c r="F191" s="1"/>
      <c r="G191" s="1"/>
      <c r="H191" s="1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40"/>
      <c r="C192" s="1"/>
      <c r="D192" s="1"/>
      <c r="E192" s="1"/>
      <c r="F192" s="1"/>
      <c r="G192" s="1"/>
      <c r="H192" s="1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40"/>
      <c r="C193" s="1"/>
      <c r="D193" s="1"/>
      <c r="E193" s="1"/>
      <c r="F193" s="1"/>
      <c r="G193" s="1"/>
      <c r="H193" s="1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40"/>
      <c r="C194" s="1"/>
      <c r="D194" s="1"/>
      <c r="E194" s="1"/>
      <c r="F194" s="1"/>
      <c r="G194" s="1"/>
      <c r="H194" s="1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40"/>
      <c r="C195" s="1"/>
      <c r="D195" s="1"/>
      <c r="E195" s="1"/>
      <c r="F195" s="1"/>
      <c r="G195" s="1"/>
      <c r="H195" s="1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40"/>
      <c r="C196" s="1"/>
      <c r="D196" s="1"/>
      <c r="E196" s="1"/>
      <c r="F196" s="1"/>
      <c r="G196" s="1"/>
      <c r="H196" s="1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40"/>
      <c r="C197" s="1"/>
      <c r="D197" s="1"/>
      <c r="E197" s="1"/>
      <c r="F197" s="1"/>
      <c r="G197" s="1"/>
      <c r="H197" s="1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40"/>
      <c r="C198" s="1"/>
      <c r="D198" s="1"/>
      <c r="E198" s="1"/>
      <c r="F198" s="1"/>
      <c r="G198" s="1"/>
      <c r="H198" s="1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40"/>
      <c r="C199" s="1"/>
      <c r="D199" s="1"/>
      <c r="E199" s="1"/>
      <c r="F199" s="1"/>
      <c r="G199" s="1"/>
      <c r="H199" s="1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40"/>
      <c r="C200" s="1"/>
      <c r="D200" s="1"/>
      <c r="E200" s="1"/>
      <c r="F200" s="1"/>
      <c r="G200" s="1"/>
      <c r="H200" s="1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40"/>
      <c r="C201" s="1"/>
      <c r="D201" s="1"/>
      <c r="E201" s="1"/>
      <c r="F201" s="1"/>
      <c r="G201" s="1"/>
      <c r="H201" s="1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40"/>
      <c r="C202" s="1"/>
      <c r="D202" s="1"/>
      <c r="E202" s="1"/>
      <c r="F202" s="1"/>
      <c r="G202" s="1"/>
      <c r="H202" s="1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40"/>
      <c r="C203" s="1"/>
      <c r="D203" s="1"/>
      <c r="E203" s="1"/>
      <c r="F203" s="1"/>
      <c r="G203" s="1"/>
      <c r="H203" s="1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40"/>
      <c r="C204" s="1"/>
      <c r="D204" s="1"/>
      <c r="E204" s="1"/>
      <c r="F204" s="1"/>
      <c r="G204" s="1"/>
      <c r="H204" s="1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40"/>
      <c r="C205" s="1"/>
      <c r="D205" s="1"/>
      <c r="E205" s="1"/>
      <c r="F205" s="1"/>
      <c r="G205" s="1"/>
      <c r="H205" s="1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40"/>
      <c r="C206" s="1"/>
      <c r="D206" s="1"/>
      <c r="E206" s="1"/>
      <c r="F206" s="1"/>
      <c r="G206" s="1"/>
      <c r="H206" s="1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40"/>
      <c r="C207" s="1"/>
      <c r="D207" s="1"/>
      <c r="E207" s="1"/>
      <c r="F207" s="1"/>
      <c r="G207" s="1"/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40"/>
      <c r="C208" s="1"/>
      <c r="D208" s="1"/>
      <c r="E208" s="1"/>
      <c r="F208" s="1"/>
      <c r="G208" s="1"/>
      <c r="H208" s="1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40"/>
      <c r="C209" s="1"/>
      <c r="D209" s="1"/>
      <c r="E209" s="1"/>
      <c r="F209" s="1"/>
      <c r="G209" s="1"/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40"/>
      <c r="C210" s="1"/>
      <c r="D210" s="1"/>
      <c r="E210" s="1"/>
      <c r="F210" s="1"/>
      <c r="G210" s="1"/>
      <c r="H210" s="1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40"/>
      <c r="C211" s="1"/>
      <c r="D211" s="1"/>
      <c r="E211" s="1"/>
      <c r="F211" s="1"/>
      <c r="G211" s="1"/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40"/>
      <c r="C212" s="1"/>
      <c r="D212" s="1"/>
      <c r="E212" s="1"/>
      <c r="F212" s="1"/>
      <c r="G212" s="1"/>
      <c r="H212" s="1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40"/>
      <c r="C213" s="1"/>
      <c r="D213" s="1"/>
      <c r="E213" s="1"/>
      <c r="F213" s="1"/>
      <c r="G213" s="1"/>
      <c r="H213" s="1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40"/>
      <c r="C214" s="1"/>
      <c r="D214" s="1"/>
      <c r="E214" s="1"/>
      <c r="F214" s="1"/>
      <c r="G214" s="1"/>
      <c r="H214" s="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40"/>
      <c r="C215" s="1"/>
      <c r="D215" s="1"/>
      <c r="E215" s="1"/>
      <c r="F215" s="1"/>
      <c r="G215" s="1"/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40"/>
      <c r="C216" s="1"/>
      <c r="D216" s="1"/>
      <c r="E216" s="1"/>
      <c r="F216" s="1"/>
      <c r="G216" s="1"/>
      <c r="H216" s="1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40"/>
      <c r="C217" s="1"/>
      <c r="D217" s="1"/>
      <c r="E217" s="1"/>
      <c r="F217" s="1"/>
      <c r="G217" s="1"/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40"/>
      <c r="C218" s="1"/>
      <c r="D218" s="1"/>
      <c r="E218" s="1"/>
      <c r="F218" s="1"/>
      <c r="G218" s="1"/>
      <c r="H218" s="1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40"/>
      <c r="C219" s="1"/>
      <c r="D219" s="1"/>
      <c r="E219" s="1"/>
      <c r="F219" s="1"/>
      <c r="G219" s="1"/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40"/>
      <c r="C220" s="1"/>
      <c r="D220" s="1"/>
      <c r="E220" s="1"/>
      <c r="F220" s="1"/>
      <c r="G220" s="1"/>
      <c r="H220" s="1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J19" xr:uid="{00000000-0009-0000-0000-000006000000}"/>
  <mergeCells count="2">
    <mergeCell ref="A1:J1"/>
    <mergeCell ref="H3:H1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" workbookViewId="0">
      <selection activeCell="A3" sqref="A3:G20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37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1" t="s">
        <v>10</v>
      </c>
      <c r="I2" s="26" t="s">
        <v>5</v>
      </c>
      <c r="J2" s="33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/>
      <c r="Y2" s="2"/>
      <c r="Z2" s="2"/>
    </row>
    <row r="3" spans="1:26" ht="15.75" customHeight="1">
      <c r="A3" s="8">
        <v>1</v>
      </c>
      <c r="B3" s="42" t="s">
        <v>181</v>
      </c>
      <c r="C3" s="13" t="s">
        <v>182</v>
      </c>
      <c r="D3" s="8" t="s">
        <v>14</v>
      </c>
      <c r="E3" s="13" t="s">
        <v>19</v>
      </c>
      <c r="F3" s="8" t="s">
        <v>183</v>
      </c>
      <c r="G3" s="43"/>
      <c r="H3" s="50"/>
      <c r="I3" s="36" t="s">
        <v>19</v>
      </c>
      <c r="J3" s="30">
        <f>5/18</f>
        <v>0.27777777777777779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>
        <f t="shared" ref="A4:A20" si="0">A3+1</f>
        <v>2</v>
      </c>
      <c r="B4" s="42" t="s">
        <v>184</v>
      </c>
      <c r="C4" s="13" t="s">
        <v>185</v>
      </c>
      <c r="D4" s="13" t="s">
        <v>35</v>
      </c>
      <c r="E4" s="8" t="s">
        <v>23</v>
      </c>
      <c r="F4" s="8" t="s">
        <v>183</v>
      </c>
      <c r="G4" s="43"/>
      <c r="H4" s="51"/>
      <c r="I4" s="36" t="s">
        <v>15</v>
      </c>
      <c r="J4" s="30">
        <f>8/18</f>
        <v>0.44444444444444442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>
        <f t="shared" si="0"/>
        <v>3</v>
      </c>
      <c r="B5" s="42" t="s">
        <v>186</v>
      </c>
      <c r="C5" s="13" t="s">
        <v>185</v>
      </c>
      <c r="D5" s="13" t="s">
        <v>35</v>
      </c>
      <c r="E5" s="8" t="s">
        <v>23</v>
      </c>
      <c r="F5" s="8" t="s">
        <v>183</v>
      </c>
      <c r="G5" s="43"/>
      <c r="H5" s="51"/>
      <c r="I5" s="36" t="s">
        <v>23</v>
      </c>
      <c r="J5" s="30">
        <f>5/18</f>
        <v>0.27777777777777779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>
        <f t="shared" si="0"/>
        <v>4</v>
      </c>
      <c r="B6" s="42" t="s">
        <v>187</v>
      </c>
      <c r="C6" s="13" t="s">
        <v>188</v>
      </c>
      <c r="D6" s="13" t="s">
        <v>35</v>
      </c>
      <c r="E6" s="8" t="s">
        <v>15</v>
      </c>
      <c r="F6" s="8" t="s">
        <v>183</v>
      </c>
      <c r="G6" s="43"/>
      <c r="H6" s="5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>
        <f t="shared" si="0"/>
        <v>5</v>
      </c>
      <c r="B7" s="42" t="s">
        <v>189</v>
      </c>
      <c r="C7" s="13" t="s">
        <v>190</v>
      </c>
      <c r="D7" s="13" t="s">
        <v>32</v>
      </c>
      <c r="E7" s="8" t="s">
        <v>15</v>
      </c>
      <c r="F7" s="8" t="s">
        <v>183</v>
      </c>
      <c r="G7" s="43"/>
      <c r="H7" s="5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>
        <f t="shared" si="0"/>
        <v>6</v>
      </c>
      <c r="B8" s="42" t="s">
        <v>191</v>
      </c>
      <c r="C8" s="13" t="s">
        <v>190</v>
      </c>
      <c r="D8" s="13" t="s">
        <v>32</v>
      </c>
      <c r="E8" s="8" t="s">
        <v>23</v>
      </c>
      <c r="F8" s="8" t="s">
        <v>183</v>
      </c>
      <c r="G8" s="43"/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>
        <f t="shared" si="0"/>
        <v>7</v>
      </c>
      <c r="B9" s="42" t="s">
        <v>192</v>
      </c>
      <c r="C9" s="13" t="s">
        <v>190</v>
      </c>
      <c r="D9" s="13" t="s">
        <v>35</v>
      </c>
      <c r="E9" s="8" t="s">
        <v>19</v>
      </c>
      <c r="F9" s="8" t="s">
        <v>183</v>
      </c>
      <c r="G9" s="43"/>
      <c r="H9" s="5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">
        <f t="shared" si="0"/>
        <v>8</v>
      </c>
      <c r="B10" s="42" t="s">
        <v>193</v>
      </c>
      <c r="C10" s="13" t="s">
        <v>190</v>
      </c>
      <c r="D10" s="13" t="s">
        <v>35</v>
      </c>
      <c r="E10" s="8" t="s">
        <v>15</v>
      </c>
      <c r="F10" s="8" t="s">
        <v>183</v>
      </c>
      <c r="G10" s="43"/>
      <c r="H10" s="5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8">
        <f t="shared" si="0"/>
        <v>9</v>
      </c>
      <c r="B11" s="42" t="s">
        <v>194</v>
      </c>
      <c r="C11" s="13" t="s">
        <v>190</v>
      </c>
      <c r="D11" s="8"/>
      <c r="E11" s="8" t="s">
        <v>19</v>
      </c>
      <c r="F11" s="8" t="s">
        <v>183</v>
      </c>
      <c r="G11" s="43"/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8">
        <f t="shared" si="0"/>
        <v>10</v>
      </c>
      <c r="B12" s="42" t="s">
        <v>195</v>
      </c>
      <c r="C12" s="13" t="s">
        <v>196</v>
      </c>
      <c r="D12" s="8"/>
      <c r="E12" s="8" t="s">
        <v>23</v>
      </c>
      <c r="F12" s="8" t="s">
        <v>183</v>
      </c>
      <c r="G12" s="43"/>
      <c r="H12" s="5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8">
        <f t="shared" si="0"/>
        <v>11</v>
      </c>
      <c r="B13" s="42" t="s">
        <v>197</v>
      </c>
      <c r="C13" s="13" t="s">
        <v>198</v>
      </c>
      <c r="D13" s="8"/>
      <c r="E13" s="8" t="s">
        <v>23</v>
      </c>
      <c r="F13" s="8" t="s">
        <v>183</v>
      </c>
      <c r="G13" s="43"/>
      <c r="H13" s="5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8">
        <f t="shared" si="0"/>
        <v>12</v>
      </c>
      <c r="B14" s="42" t="s">
        <v>199</v>
      </c>
      <c r="C14" s="13" t="s">
        <v>198</v>
      </c>
      <c r="D14" s="8"/>
      <c r="E14" s="8" t="s">
        <v>15</v>
      </c>
      <c r="F14" s="8" t="s">
        <v>183</v>
      </c>
      <c r="G14" s="43"/>
      <c r="H14" s="5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8">
        <f t="shared" si="0"/>
        <v>13</v>
      </c>
      <c r="B15" s="42" t="s">
        <v>200</v>
      </c>
      <c r="C15" s="13" t="s">
        <v>198</v>
      </c>
      <c r="D15" s="8"/>
      <c r="E15" s="8" t="s">
        <v>19</v>
      </c>
      <c r="F15" s="8" t="s">
        <v>183</v>
      </c>
      <c r="G15" s="43"/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8">
        <f t="shared" si="0"/>
        <v>14</v>
      </c>
      <c r="B16" s="39"/>
      <c r="C16" s="8"/>
      <c r="D16" s="8"/>
      <c r="E16" s="8" t="s">
        <v>19</v>
      </c>
      <c r="F16" s="8" t="s">
        <v>183</v>
      </c>
      <c r="G16" s="43"/>
      <c r="H16" s="5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>
        <f t="shared" si="0"/>
        <v>15</v>
      </c>
      <c r="B17" s="39"/>
      <c r="C17" s="8"/>
      <c r="D17" s="8"/>
      <c r="E17" s="8" t="s">
        <v>15</v>
      </c>
      <c r="F17" s="8" t="s">
        <v>183</v>
      </c>
      <c r="G17" s="43"/>
      <c r="H17" s="5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8">
        <f t="shared" si="0"/>
        <v>16</v>
      </c>
      <c r="B18" s="39"/>
      <c r="C18" s="8"/>
      <c r="D18" s="8"/>
      <c r="E18" s="8" t="s">
        <v>15</v>
      </c>
      <c r="F18" s="8" t="s">
        <v>183</v>
      </c>
      <c r="G18" s="43"/>
      <c r="H18" s="5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8">
        <f t="shared" si="0"/>
        <v>17</v>
      </c>
      <c r="B19" s="39"/>
      <c r="C19" s="8"/>
      <c r="D19" s="8"/>
      <c r="E19" s="8" t="s">
        <v>15</v>
      </c>
      <c r="F19" s="8" t="s">
        <v>183</v>
      </c>
      <c r="G19" s="43"/>
      <c r="H19" s="5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8">
        <f t="shared" si="0"/>
        <v>18</v>
      </c>
      <c r="B20" s="39"/>
      <c r="C20" s="8"/>
      <c r="D20" s="8"/>
      <c r="E20" s="8" t="s">
        <v>19</v>
      </c>
      <c r="F20" s="8" t="s">
        <v>183</v>
      </c>
      <c r="G20" s="43"/>
      <c r="H20" s="5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40"/>
      <c r="C21" s="1"/>
      <c r="D21" s="1"/>
      <c r="E21" s="1"/>
      <c r="F21" s="1"/>
      <c r="G21" s="1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40"/>
      <c r="C22" s="1"/>
      <c r="D22" s="1"/>
      <c r="E22" s="1"/>
      <c r="F22" s="1"/>
      <c r="G22" s="1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40"/>
      <c r="C23" s="1"/>
      <c r="D23" s="1"/>
      <c r="E23" s="1"/>
      <c r="F23" s="1"/>
      <c r="G23" s="1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40"/>
      <c r="C24" s="1"/>
      <c r="D24" s="1"/>
      <c r="E24" s="1"/>
      <c r="F24" s="1"/>
      <c r="G24" s="1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40"/>
      <c r="C25" s="1"/>
      <c r="D25" s="1"/>
      <c r="E25" s="1"/>
      <c r="F25" s="1"/>
      <c r="G25" s="1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40"/>
      <c r="C26" s="1"/>
      <c r="D26" s="1"/>
      <c r="E26" s="1"/>
      <c r="F26" s="1"/>
      <c r="G26" s="1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40"/>
      <c r="C27" s="1"/>
      <c r="D27" s="1"/>
      <c r="E27" s="1"/>
      <c r="F27" s="1"/>
      <c r="G27" s="1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40"/>
      <c r="C28" s="1"/>
      <c r="D28" s="1"/>
      <c r="E28" s="1"/>
      <c r="F28" s="1"/>
      <c r="G28" s="1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40"/>
      <c r="C29" s="1"/>
      <c r="D29" s="1"/>
      <c r="E29" s="1"/>
      <c r="F29" s="1"/>
      <c r="G29" s="1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40"/>
      <c r="C30" s="1"/>
      <c r="D30" s="1"/>
      <c r="E30" s="1"/>
      <c r="F30" s="1"/>
      <c r="G30" s="1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40"/>
      <c r="C31" s="1"/>
      <c r="D31" s="1"/>
      <c r="E31" s="1"/>
      <c r="F31" s="1"/>
      <c r="G31" s="1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40"/>
      <c r="C32" s="1"/>
      <c r="D32" s="1"/>
      <c r="E32" s="1"/>
      <c r="F32" s="1"/>
      <c r="G32" s="1"/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40"/>
      <c r="C33" s="1"/>
      <c r="D33" s="1"/>
      <c r="E33" s="1"/>
      <c r="F33" s="1"/>
      <c r="G33" s="1"/>
      <c r="H33" s="1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40"/>
      <c r="C34" s="1"/>
      <c r="D34" s="1"/>
      <c r="E34" s="1"/>
      <c r="F34" s="1"/>
      <c r="G34" s="1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40"/>
      <c r="C35" s="1"/>
      <c r="D35" s="1"/>
      <c r="E35" s="1"/>
      <c r="F35" s="1"/>
      <c r="G35" s="1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40"/>
      <c r="C36" s="1"/>
      <c r="D36" s="1"/>
      <c r="E36" s="1"/>
      <c r="F36" s="1"/>
      <c r="G36" s="1"/>
      <c r="H36" s="1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40"/>
      <c r="C37" s="1"/>
      <c r="D37" s="1"/>
      <c r="E37" s="1"/>
      <c r="F37" s="1"/>
      <c r="G37" s="1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40"/>
      <c r="C38" s="1"/>
      <c r="D38" s="1"/>
      <c r="E38" s="1"/>
      <c r="F38" s="1"/>
      <c r="G38" s="1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40"/>
      <c r="C39" s="1"/>
      <c r="D39" s="1"/>
      <c r="E39" s="1"/>
      <c r="F39" s="1"/>
      <c r="G39" s="1"/>
      <c r="H39" s="1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40"/>
      <c r="C40" s="1"/>
      <c r="D40" s="1"/>
      <c r="E40" s="1"/>
      <c r="F40" s="1"/>
      <c r="G40" s="1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40"/>
      <c r="C41" s="1"/>
      <c r="D41" s="1"/>
      <c r="E41" s="1"/>
      <c r="F41" s="1"/>
      <c r="G41" s="1"/>
      <c r="H41" s="1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40"/>
      <c r="C42" s="1"/>
      <c r="D42" s="1"/>
      <c r="E42" s="1"/>
      <c r="F42" s="1"/>
      <c r="G42" s="1"/>
      <c r="H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40"/>
      <c r="C43" s="1"/>
      <c r="D43" s="1"/>
      <c r="E43" s="1"/>
      <c r="F43" s="1"/>
      <c r="G43" s="1"/>
      <c r="H43" s="1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40"/>
      <c r="C44" s="1"/>
      <c r="D44" s="1"/>
      <c r="E44" s="1"/>
      <c r="F44" s="1"/>
      <c r="G44" s="1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40"/>
      <c r="C45" s="1"/>
      <c r="D45" s="1"/>
      <c r="E45" s="1"/>
      <c r="F45" s="1"/>
      <c r="G45" s="1"/>
      <c r="H45" s="1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40"/>
      <c r="C46" s="1"/>
      <c r="D46" s="1"/>
      <c r="E46" s="1"/>
      <c r="F46" s="1"/>
      <c r="G46" s="1"/>
      <c r="H46" s="1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40"/>
      <c r="C47" s="1"/>
      <c r="D47" s="1"/>
      <c r="E47" s="1"/>
      <c r="F47" s="1"/>
      <c r="G47" s="1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40"/>
      <c r="C48" s="1"/>
      <c r="D48" s="1"/>
      <c r="E48" s="1"/>
      <c r="F48" s="1"/>
      <c r="G48" s="1"/>
      <c r="H48" s="1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40"/>
      <c r="C49" s="1"/>
      <c r="D49" s="1"/>
      <c r="E49" s="1"/>
      <c r="F49" s="1"/>
      <c r="G49" s="1"/>
      <c r="H49" s="1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40"/>
      <c r="C50" s="1"/>
      <c r="D50" s="1"/>
      <c r="E50" s="1"/>
      <c r="F50" s="1"/>
      <c r="G50" s="1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40"/>
      <c r="C51" s="1"/>
      <c r="D51" s="1"/>
      <c r="E51" s="1"/>
      <c r="F51" s="1"/>
      <c r="G51" s="1"/>
      <c r="H51" s="1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40"/>
      <c r="C52" s="1"/>
      <c r="D52" s="1"/>
      <c r="E52" s="1"/>
      <c r="F52" s="1"/>
      <c r="G52" s="1"/>
      <c r="H52" s="1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40"/>
      <c r="C53" s="1"/>
      <c r="D53" s="1"/>
      <c r="E53" s="1"/>
      <c r="F53" s="1"/>
      <c r="G53" s="1"/>
      <c r="H53" s="1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40"/>
      <c r="C54" s="1"/>
      <c r="D54" s="1"/>
      <c r="E54" s="1"/>
      <c r="F54" s="1"/>
      <c r="G54" s="1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40"/>
      <c r="C55" s="1"/>
      <c r="D55" s="1"/>
      <c r="E55" s="1"/>
      <c r="F55" s="1"/>
      <c r="G55" s="1"/>
      <c r="H55" s="1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40"/>
      <c r="C56" s="1"/>
      <c r="D56" s="1"/>
      <c r="E56" s="1"/>
      <c r="F56" s="1"/>
      <c r="G56" s="1"/>
      <c r="H56" s="1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40"/>
      <c r="C57" s="1"/>
      <c r="D57" s="1"/>
      <c r="E57" s="1"/>
      <c r="F57" s="1"/>
      <c r="G57" s="1"/>
      <c r="H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40"/>
      <c r="C58" s="1"/>
      <c r="D58" s="1"/>
      <c r="E58" s="1"/>
      <c r="F58" s="1"/>
      <c r="G58" s="1"/>
      <c r="H58" s="1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40"/>
      <c r="C59" s="1"/>
      <c r="D59" s="1"/>
      <c r="E59" s="1"/>
      <c r="F59" s="1"/>
      <c r="G59" s="1"/>
      <c r="H59" s="1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40"/>
      <c r="C60" s="1"/>
      <c r="D60" s="1"/>
      <c r="E60" s="1"/>
      <c r="F60" s="1"/>
      <c r="G60" s="1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40"/>
      <c r="C61" s="1"/>
      <c r="D61" s="1"/>
      <c r="E61" s="1"/>
      <c r="F61" s="1"/>
      <c r="G61" s="1"/>
      <c r="H61" s="1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40"/>
      <c r="C62" s="1"/>
      <c r="D62" s="1"/>
      <c r="E62" s="1"/>
      <c r="F62" s="1"/>
      <c r="G62" s="1"/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40"/>
      <c r="C63" s="1"/>
      <c r="D63" s="1"/>
      <c r="E63" s="1"/>
      <c r="F63" s="1"/>
      <c r="G63" s="1"/>
      <c r="H63" s="1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40"/>
      <c r="C64" s="1"/>
      <c r="D64" s="1"/>
      <c r="E64" s="1"/>
      <c r="F64" s="1"/>
      <c r="G64" s="1"/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40"/>
      <c r="C65" s="1"/>
      <c r="D65" s="1"/>
      <c r="E65" s="1"/>
      <c r="F65" s="1"/>
      <c r="G65" s="1"/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40"/>
      <c r="C66" s="1"/>
      <c r="D66" s="1"/>
      <c r="E66" s="1"/>
      <c r="F66" s="1"/>
      <c r="G66" s="1"/>
      <c r="H66" s="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40"/>
      <c r="C67" s="1"/>
      <c r="D67" s="1"/>
      <c r="E67" s="1"/>
      <c r="F67" s="1"/>
      <c r="G67" s="1"/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40"/>
      <c r="C68" s="1"/>
      <c r="D68" s="1"/>
      <c r="E68" s="1"/>
      <c r="F68" s="1"/>
      <c r="G68" s="1"/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40"/>
      <c r="C69" s="1"/>
      <c r="D69" s="1"/>
      <c r="E69" s="1"/>
      <c r="F69" s="1"/>
      <c r="G69" s="1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40"/>
      <c r="C70" s="1"/>
      <c r="D70" s="1"/>
      <c r="E70" s="1"/>
      <c r="F70" s="1"/>
      <c r="G70" s="1"/>
      <c r="H70" s="1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40"/>
      <c r="C71" s="1"/>
      <c r="D71" s="1"/>
      <c r="E71" s="1"/>
      <c r="F71" s="1"/>
      <c r="G71" s="1"/>
      <c r="H71" s="1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40"/>
      <c r="C72" s="1"/>
      <c r="D72" s="1"/>
      <c r="E72" s="1"/>
      <c r="F72" s="1"/>
      <c r="G72" s="1"/>
      <c r="H72" s="1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40"/>
      <c r="C73" s="1"/>
      <c r="D73" s="1"/>
      <c r="E73" s="1"/>
      <c r="F73" s="1"/>
      <c r="G73" s="1"/>
      <c r="H73" s="1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40"/>
      <c r="C74" s="1"/>
      <c r="D74" s="1"/>
      <c r="E74" s="1"/>
      <c r="F74" s="1"/>
      <c r="G74" s="1"/>
      <c r="H74" s="1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40"/>
      <c r="C75" s="1"/>
      <c r="D75" s="1"/>
      <c r="E75" s="1"/>
      <c r="F75" s="1"/>
      <c r="G75" s="1"/>
      <c r="H75" s="1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40"/>
      <c r="C76" s="1"/>
      <c r="D76" s="1"/>
      <c r="E76" s="1"/>
      <c r="F76" s="1"/>
      <c r="G76" s="1"/>
      <c r="H76" s="1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40"/>
      <c r="C77" s="1"/>
      <c r="D77" s="1"/>
      <c r="E77" s="1"/>
      <c r="F77" s="1"/>
      <c r="G77" s="1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40"/>
      <c r="C78" s="1"/>
      <c r="D78" s="1"/>
      <c r="E78" s="1"/>
      <c r="F78" s="1"/>
      <c r="G78" s="1"/>
      <c r="H78" s="1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40"/>
      <c r="C79" s="1"/>
      <c r="D79" s="1"/>
      <c r="E79" s="1"/>
      <c r="F79" s="1"/>
      <c r="G79" s="1"/>
      <c r="H79" s="1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40"/>
      <c r="C80" s="1"/>
      <c r="D80" s="1"/>
      <c r="E80" s="1"/>
      <c r="F80" s="1"/>
      <c r="G80" s="1"/>
      <c r="H80" s="1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40"/>
      <c r="C81" s="1"/>
      <c r="D81" s="1"/>
      <c r="E81" s="1"/>
      <c r="F81" s="1"/>
      <c r="G81" s="1"/>
      <c r="H81" s="1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40"/>
      <c r="C82" s="1"/>
      <c r="D82" s="1"/>
      <c r="E82" s="1"/>
      <c r="F82" s="1"/>
      <c r="G82" s="1"/>
      <c r="H82" s="1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40"/>
      <c r="C83" s="1"/>
      <c r="D83" s="1"/>
      <c r="E83" s="1"/>
      <c r="F83" s="1"/>
      <c r="G83" s="1"/>
      <c r="H83" s="1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40"/>
      <c r="C84" s="1"/>
      <c r="D84" s="1"/>
      <c r="E84" s="1"/>
      <c r="F84" s="1"/>
      <c r="G84" s="1"/>
      <c r="H84" s="1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40"/>
      <c r="C85" s="1"/>
      <c r="D85" s="1"/>
      <c r="E85" s="1"/>
      <c r="F85" s="1"/>
      <c r="G85" s="1"/>
      <c r="H85" s="1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40"/>
      <c r="C86" s="1"/>
      <c r="D86" s="1"/>
      <c r="E86" s="1"/>
      <c r="F86" s="1"/>
      <c r="G86" s="1"/>
      <c r="H86" s="1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40"/>
      <c r="C87" s="1"/>
      <c r="D87" s="1"/>
      <c r="E87" s="1"/>
      <c r="F87" s="1"/>
      <c r="G87" s="1"/>
      <c r="H87" s="1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40"/>
      <c r="C88" s="1"/>
      <c r="D88" s="1"/>
      <c r="E88" s="1"/>
      <c r="F88" s="1"/>
      <c r="G88" s="1"/>
      <c r="H88" s="1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40"/>
      <c r="C89" s="1"/>
      <c r="D89" s="1"/>
      <c r="E89" s="1"/>
      <c r="F89" s="1"/>
      <c r="G89" s="1"/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40"/>
      <c r="C90" s="1"/>
      <c r="D90" s="1"/>
      <c r="E90" s="1"/>
      <c r="F90" s="1"/>
      <c r="G90" s="1"/>
      <c r="H90" s="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40"/>
      <c r="C91" s="1"/>
      <c r="D91" s="1"/>
      <c r="E91" s="1"/>
      <c r="F91" s="1"/>
      <c r="G91" s="1"/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40"/>
      <c r="C92" s="1"/>
      <c r="D92" s="1"/>
      <c r="E92" s="1"/>
      <c r="F92" s="1"/>
      <c r="G92" s="1"/>
      <c r="H92" s="1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40"/>
      <c r="C93" s="1"/>
      <c r="D93" s="1"/>
      <c r="E93" s="1"/>
      <c r="F93" s="1"/>
      <c r="G93" s="1"/>
      <c r="H93" s="1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40"/>
      <c r="C94" s="1"/>
      <c r="D94" s="1"/>
      <c r="E94" s="1"/>
      <c r="F94" s="1"/>
      <c r="G94" s="1"/>
      <c r="H94" s="1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40"/>
      <c r="C95" s="1"/>
      <c r="D95" s="1"/>
      <c r="E95" s="1"/>
      <c r="F95" s="1"/>
      <c r="G95" s="1"/>
      <c r="H95" s="1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40"/>
      <c r="C96" s="1"/>
      <c r="D96" s="1"/>
      <c r="E96" s="1"/>
      <c r="F96" s="1"/>
      <c r="G96" s="1"/>
      <c r="H96" s="1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40"/>
      <c r="C97" s="1"/>
      <c r="D97" s="1"/>
      <c r="E97" s="1"/>
      <c r="F97" s="1"/>
      <c r="G97" s="1"/>
      <c r="H97" s="1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40"/>
      <c r="C98" s="1"/>
      <c r="D98" s="1"/>
      <c r="E98" s="1"/>
      <c r="F98" s="1"/>
      <c r="G98" s="1"/>
      <c r="H98" s="1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40"/>
      <c r="C99" s="1"/>
      <c r="D99" s="1"/>
      <c r="E99" s="1"/>
      <c r="F99" s="1"/>
      <c r="G99" s="1"/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40"/>
      <c r="C100" s="1"/>
      <c r="D100" s="1"/>
      <c r="E100" s="1"/>
      <c r="F100" s="1"/>
      <c r="G100" s="1"/>
      <c r="H100" s="1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40"/>
      <c r="C101" s="1"/>
      <c r="D101" s="1"/>
      <c r="E101" s="1"/>
      <c r="F101" s="1"/>
      <c r="G101" s="1"/>
      <c r="H101" s="1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40"/>
      <c r="C102" s="1"/>
      <c r="D102" s="1"/>
      <c r="E102" s="1"/>
      <c r="F102" s="1"/>
      <c r="G102" s="1"/>
      <c r="H102" s="1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40"/>
      <c r="C103" s="1"/>
      <c r="D103" s="1"/>
      <c r="E103" s="1"/>
      <c r="F103" s="1"/>
      <c r="G103" s="1"/>
      <c r="H103" s="1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40"/>
      <c r="C104" s="1"/>
      <c r="D104" s="1"/>
      <c r="E104" s="1"/>
      <c r="F104" s="1"/>
      <c r="G104" s="1"/>
      <c r="H104" s="1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40"/>
      <c r="C105" s="1"/>
      <c r="D105" s="1"/>
      <c r="E105" s="1"/>
      <c r="F105" s="1"/>
      <c r="G105" s="1"/>
      <c r="H105" s="1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40"/>
      <c r="C106" s="1"/>
      <c r="D106" s="1"/>
      <c r="E106" s="1"/>
      <c r="F106" s="1"/>
      <c r="G106" s="1"/>
      <c r="H106" s="1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40"/>
      <c r="C107" s="1"/>
      <c r="D107" s="1"/>
      <c r="E107" s="1"/>
      <c r="F107" s="1"/>
      <c r="G107" s="1"/>
      <c r="H107" s="1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40"/>
      <c r="C108" s="1"/>
      <c r="D108" s="1"/>
      <c r="E108" s="1"/>
      <c r="F108" s="1"/>
      <c r="G108" s="1"/>
      <c r="H108" s="1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40"/>
      <c r="C109" s="1"/>
      <c r="D109" s="1"/>
      <c r="E109" s="1"/>
      <c r="F109" s="1"/>
      <c r="G109" s="1"/>
      <c r="H109" s="1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40"/>
      <c r="C110" s="1"/>
      <c r="D110" s="1"/>
      <c r="E110" s="1"/>
      <c r="F110" s="1"/>
      <c r="G110" s="1"/>
      <c r="H110" s="1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40"/>
      <c r="C111" s="1"/>
      <c r="D111" s="1"/>
      <c r="E111" s="1"/>
      <c r="F111" s="1"/>
      <c r="G111" s="1"/>
      <c r="H111" s="1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40"/>
      <c r="C112" s="1"/>
      <c r="D112" s="1"/>
      <c r="E112" s="1"/>
      <c r="F112" s="1"/>
      <c r="G112" s="1"/>
      <c r="H112" s="1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40"/>
      <c r="C113" s="1"/>
      <c r="D113" s="1"/>
      <c r="E113" s="1"/>
      <c r="F113" s="1"/>
      <c r="G113" s="1"/>
      <c r="H113" s="1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40"/>
      <c r="C114" s="1"/>
      <c r="D114" s="1"/>
      <c r="E114" s="1"/>
      <c r="F114" s="1"/>
      <c r="G114" s="1"/>
      <c r="H114" s="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40"/>
      <c r="C115" s="1"/>
      <c r="D115" s="1"/>
      <c r="E115" s="1"/>
      <c r="F115" s="1"/>
      <c r="G115" s="1"/>
      <c r="H115" s="1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40"/>
      <c r="C116" s="1"/>
      <c r="D116" s="1"/>
      <c r="E116" s="1"/>
      <c r="F116" s="1"/>
      <c r="G116" s="1"/>
      <c r="H116" s="1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40"/>
      <c r="C117" s="1"/>
      <c r="D117" s="1"/>
      <c r="E117" s="1"/>
      <c r="F117" s="1"/>
      <c r="G117" s="1"/>
      <c r="H117" s="1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40"/>
      <c r="C118" s="1"/>
      <c r="D118" s="1"/>
      <c r="E118" s="1"/>
      <c r="F118" s="1"/>
      <c r="G118" s="1"/>
      <c r="H118" s="1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40"/>
      <c r="C119" s="1"/>
      <c r="D119" s="1"/>
      <c r="E119" s="1"/>
      <c r="F119" s="1"/>
      <c r="G119" s="1"/>
      <c r="H119" s="1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40"/>
      <c r="C120" s="1"/>
      <c r="D120" s="1"/>
      <c r="E120" s="1"/>
      <c r="F120" s="1"/>
      <c r="G120" s="1"/>
      <c r="H120" s="1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40"/>
      <c r="C121" s="1"/>
      <c r="D121" s="1"/>
      <c r="E121" s="1"/>
      <c r="F121" s="1"/>
      <c r="G121" s="1"/>
      <c r="H121" s="1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40"/>
      <c r="C122" s="1"/>
      <c r="D122" s="1"/>
      <c r="E122" s="1"/>
      <c r="F122" s="1"/>
      <c r="G122" s="1"/>
      <c r="H122" s="1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40"/>
      <c r="C123" s="1"/>
      <c r="D123" s="1"/>
      <c r="E123" s="1"/>
      <c r="F123" s="1"/>
      <c r="G123" s="1"/>
      <c r="H123" s="1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40"/>
      <c r="C124" s="1"/>
      <c r="D124" s="1"/>
      <c r="E124" s="1"/>
      <c r="F124" s="1"/>
      <c r="G124" s="1"/>
      <c r="H124" s="1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40"/>
      <c r="C125" s="1"/>
      <c r="D125" s="1"/>
      <c r="E125" s="1"/>
      <c r="F125" s="1"/>
      <c r="G125" s="1"/>
      <c r="H125" s="1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40"/>
      <c r="C126" s="1"/>
      <c r="D126" s="1"/>
      <c r="E126" s="1"/>
      <c r="F126" s="1"/>
      <c r="G126" s="1"/>
      <c r="H126" s="1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40"/>
      <c r="C127" s="1"/>
      <c r="D127" s="1"/>
      <c r="E127" s="1"/>
      <c r="F127" s="1"/>
      <c r="G127" s="1"/>
      <c r="H127" s="1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40"/>
      <c r="C128" s="1"/>
      <c r="D128" s="1"/>
      <c r="E128" s="1"/>
      <c r="F128" s="1"/>
      <c r="G128" s="1"/>
      <c r="H128" s="1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40"/>
      <c r="C129" s="1"/>
      <c r="D129" s="1"/>
      <c r="E129" s="1"/>
      <c r="F129" s="1"/>
      <c r="G129" s="1"/>
      <c r="H129" s="1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40"/>
      <c r="C130" s="1"/>
      <c r="D130" s="1"/>
      <c r="E130" s="1"/>
      <c r="F130" s="1"/>
      <c r="G130" s="1"/>
      <c r="H130" s="1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40"/>
      <c r="C131" s="1"/>
      <c r="D131" s="1"/>
      <c r="E131" s="1"/>
      <c r="F131" s="1"/>
      <c r="G131" s="1"/>
      <c r="H131" s="1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40"/>
      <c r="C132" s="1"/>
      <c r="D132" s="1"/>
      <c r="E132" s="1"/>
      <c r="F132" s="1"/>
      <c r="G132" s="1"/>
      <c r="H132" s="1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40"/>
      <c r="C133" s="1"/>
      <c r="D133" s="1"/>
      <c r="E133" s="1"/>
      <c r="F133" s="1"/>
      <c r="G133" s="1"/>
      <c r="H133" s="1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40"/>
      <c r="C134" s="1"/>
      <c r="D134" s="1"/>
      <c r="E134" s="1"/>
      <c r="F134" s="1"/>
      <c r="G134" s="1"/>
      <c r="H134" s="1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40"/>
      <c r="C135" s="1"/>
      <c r="D135" s="1"/>
      <c r="E135" s="1"/>
      <c r="F135" s="1"/>
      <c r="G135" s="1"/>
      <c r="H135" s="1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40"/>
      <c r="C136" s="1"/>
      <c r="D136" s="1"/>
      <c r="E136" s="1"/>
      <c r="F136" s="1"/>
      <c r="G136" s="1"/>
      <c r="H136" s="1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40"/>
      <c r="C137" s="1"/>
      <c r="D137" s="1"/>
      <c r="E137" s="1"/>
      <c r="F137" s="1"/>
      <c r="G137" s="1"/>
      <c r="H137" s="1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40"/>
      <c r="C138" s="1"/>
      <c r="D138" s="1"/>
      <c r="E138" s="1"/>
      <c r="F138" s="1"/>
      <c r="G138" s="1"/>
      <c r="H138" s="1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40"/>
      <c r="C139" s="1"/>
      <c r="D139" s="1"/>
      <c r="E139" s="1"/>
      <c r="F139" s="1"/>
      <c r="G139" s="1"/>
      <c r="H139" s="1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40"/>
      <c r="C140" s="1"/>
      <c r="D140" s="1"/>
      <c r="E140" s="1"/>
      <c r="F140" s="1"/>
      <c r="G140" s="1"/>
      <c r="H140" s="1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40"/>
      <c r="C141" s="1"/>
      <c r="D141" s="1"/>
      <c r="E141" s="1"/>
      <c r="F141" s="1"/>
      <c r="G141" s="1"/>
      <c r="H141" s="1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40"/>
      <c r="C142" s="1"/>
      <c r="D142" s="1"/>
      <c r="E142" s="1"/>
      <c r="F142" s="1"/>
      <c r="G142" s="1"/>
      <c r="H142" s="1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40"/>
      <c r="C143" s="1"/>
      <c r="D143" s="1"/>
      <c r="E143" s="1"/>
      <c r="F143" s="1"/>
      <c r="G143" s="1"/>
      <c r="H143" s="1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40"/>
      <c r="C144" s="1"/>
      <c r="D144" s="1"/>
      <c r="E144" s="1"/>
      <c r="F144" s="1"/>
      <c r="G144" s="1"/>
      <c r="H144" s="1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40"/>
      <c r="C145" s="1"/>
      <c r="D145" s="1"/>
      <c r="E145" s="1"/>
      <c r="F145" s="1"/>
      <c r="G145" s="1"/>
      <c r="H145" s="1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40"/>
      <c r="C146" s="1"/>
      <c r="D146" s="1"/>
      <c r="E146" s="1"/>
      <c r="F146" s="1"/>
      <c r="G146" s="1"/>
      <c r="H146" s="1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40"/>
      <c r="C147" s="1"/>
      <c r="D147" s="1"/>
      <c r="E147" s="1"/>
      <c r="F147" s="1"/>
      <c r="G147" s="1"/>
      <c r="H147" s="1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40"/>
      <c r="C148" s="1"/>
      <c r="D148" s="1"/>
      <c r="E148" s="1"/>
      <c r="F148" s="1"/>
      <c r="G148" s="1"/>
      <c r="H148" s="1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40"/>
      <c r="C149" s="1"/>
      <c r="D149" s="1"/>
      <c r="E149" s="1"/>
      <c r="F149" s="1"/>
      <c r="G149" s="1"/>
      <c r="H149" s="1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40"/>
      <c r="C150" s="1"/>
      <c r="D150" s="1"/>
      <c r="E150" s="1"/>
      <c r="F150" s="1"/>
      <c r="G150" s="1"/>
      <c r="H150" s="1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40"/>
      <c r="C151" s="1"/>
      <c r="D151" s="1"/>
      <c r="E151" s="1"/>
      <c r="F151" s="1"/>
      <c r="G151" s="1"/>
      <c r="H151" s="1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40"/>
      <c r="C152" s="1"/>
      <c r="D152" s="1"/>
      <c r="E152" s="1"/>
      <c r="F152" s="1"/>
      <c r="G152" s="1"/>
      <c r="H152" s="1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40"/>
      <c r="C153" s="1"/>
      <c r="D153" s="1"/>
      <c r="E153" s="1"/>
      <c r="F153" s="1"/>
      <c r="G153" s="1"/>
      <c r="H153" s="1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40"/>
      <c r="C154" s="1"/>
      <c r="D154" s="1"/>
      <c r="E154" s="1"/>
      <c r="F154" s="1"/>
      <c r="G154" s="1"/>
      <c r="H154" s="1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40"/>
      <c r="C155" s="1"/>
      <c r="D155" s="1"/>
      <c r="E155" s="1"/>
      <c r="F155" s="1"/>
      <c r="G155" s="1"/>
      <c r="H155" s="1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40"/>
      <c r="C156" s="1"/>
      <c r="D156" s="1"/>
      <c r="E156" s="1"/>
      <c r="F156" s="1"/>
      <c r="G156" s="1"/>
      <c r="H156" s="1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40"/>
      <c r="C157" s="1"/>
      <c r="D157" s="1"/>
      <c r="E157" s="1"/>
      <c r="F157" s="1"/>
      <c r="G157" s="1"/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40"/>
      <c r="C158" s="1"/>
      <c r="D158" s="1"/>
      <c r="E158" s="1"/>
      <c r="F158" s="1"/>
      <c r="G158" s="1"/>
      <c r="H158" s="1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40"/>
      <c r="C159" s="1"/>
      <c r="D159" s="1"/>
      <c r="E159" s="1"/>
      <c r="F159" s="1"/>
      <c r="G159" s="1"/>
      <c r="H159" s="1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40"/>
      <c r="C160" s="1"/>
      <c r="D160" s="1"/>
      <c r="E160" s="1"/>
      <c r="F160" s="1"/>
      <c r="G160" s="1"/>
      <c r="H160" s="1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40"/>
      <c r="C161" s="1"/>
      <c r="D161" s="1"/>
      <c r="E161" s="1"/>
      <c r="F161" s="1"/>
      <c r="G161" s="1"/>
      <c r="H161" s="1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40"/>
      <c r="C162" s="1"/>
      <c r="D162" s="1"/>
      <c r="E162" s="1"/>
      <c r="F162" s="1"/>
      <c r="G162" s="1"/>
      <c r="H162" s="1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40"/>
      <c r="C163" s="1"/>
      <c r="D163" s="1"/>
      <c r="E163" s="1"/>
      <c r="F163" s="1"/>
      <c r="G163" s="1"/>
      <c r="H163" s="1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40"/>
      <c r="C164" s="1"/>
      <c r="D164" s="1"/>
      <c r="E164" s="1"/>
      <c r="F164" s="1"/>
      <c r="G164" s="1"/>
      <c r="H164" s="1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40"/>
      <c r="C165" s="1"/>
      <c r="D165" s="1"/>
      <c r="E165" s="1"/>
      <c r="F165" s="1"/>
      <c r="G165" s="1"/>
      <c r="H165" s="1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40"/>
      <c r="C166" s="1"/>
      <c r="D166" s="1"/>
      <c r="E166" s="1"/>
      <c r="F166" s="1"/>
      <c r="G166" s="1"/>
      <c r="H166" s="1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40"/>
      <c r="C167" s="1"/>
      <c r="D167" s="1"/>
      <c r="E167" s="1"/>
      <c r="F167" s="1"/>
      <c r="G167" s="1"/>
      <c r="H167" s="1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40"/>
      <c r="C168" s="1"/>
      <c r="D168" s="1"/>
      <c r="E168" s="1"/>
      <c r="F168" s="1"/>
      <c r="G168" s="1"/>
      <c r="H168" s="1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40"/>
      <c r="C169" s="1"/>
      <c r="D169" s="1"/>
      <c r="E169" s="1"/>
      <c r="F169" s="1"/>
      <c r="G169" s="1"/>
      <c r="H169" s="1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40"/>
      <c r="C170" s="1"/>
      <c r="D170" s="1"/>
      <c r="E170" s="1"/>
      <c r="F170" s="1"/>
      <c r="G170" s="1"/>
      <c r="H170" s="1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40"/>
      <c r="C171" s="1"/>
      <c r="D171" s="1"/>
      <c r="E171" s="1"/>
      <c r="F171" s="1"/>
      <c r="G171" s="1"/>
      <c r="H171" s="1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40"/>
      <c r="C172" s="1"/>
      <c r="D172" s="1"/>
      <c r="E172" s="1"/>
      <c r="F172" s="1"/>
      <c r="G172" s="1"/>
      <c r="H172" s="1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40"/>
      <c r="C173" s="1"/>
      <c r="D173" s="1"/>
      <c r="E173" s="1"/>
      <c r="F173" s="1"/>
      <c r="G173" s="1"/>
      <c r="H173" s="1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40"/>
      <c r="C174" s="1"/>
      <c r="D174" s="1"/>
      <c r="E174" s="1"/>
      <c r="F174" s="1"/>
      <c r="G174" s="1"/>
      <c r="H174" s="1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40"/>
      <c r="C175" s="1"/>
      <c r="D175" s="1"/>
      <c r="E175" s="1"/>
      <c r="F175" s="1"/>
      <c r="G175" s="1"/>
      <c r="H175" s="1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40"/>
      <c r="C176" s="1"/>
      <c r="D176" s="1"/>
      <c r="E176" s="1"/>
      <c r="F176" s="1"/>
      <c r="G176" s="1"/>
      <c r="H176" s="1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40"/>
      <c r="C177" s="1"/>
      <c r="D177" s="1"/>
      <c r="E177" s="1"/>
      <c r="F177" s="1"/>
      <c r="G177" s="1"/>
      <c r="H177" s="1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40"/>
      <c r="C178" s="1"/>
      <c r="D178" s="1"/>
      <c r="E178" s="1"/>
      <c r="F178" s="1"/>
      <c r="G178" s="1"/>
      <c r="H178" s="1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40"/>
      <c r="C179" s="1"/>
      <c r="D179" s="1"/>
      <c r="E179" s="1"/>
      <c r="F179" s="1"/>
      <c r="G179" s="1"/>
      <c r="H179" s="1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40"/>
      <c r="C180" s="1"/>
      <c r="D180" s="1"/>
      <c r="E180" s="1"/>
      <c r="F180" s="1"/>
      <c r="G180" s="1"/>
      <c r="H180" s="1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40"/>
      <c r="C181" s="1"/>
      <c r="D181" s="1"/>
      <c r="E181" s="1"/>
      <c r="F181" s="1"/>
      <c r="G181" s="1"/>
      <c r="H181" s="1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40"/>
      <c r="C182" s="1"/>
      <c r="D182" s="1"/>
      <c r="E182" s="1"/>
      <c r="F182" s="1"/>
      <c r="G182" s="1"/>
      <c r="H182" s="1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40"/>
      <c r="C183" s="1"/>
      <c r="D183" s="1"/>
      <c r="E183" s="1"/>
      <c r="F183" s="1"/>
      <c r="G183" s="1"/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40"/>
      <c r="C184" s="1"/>
      <c r="D184" s="1"/>
      <c r="E184" s="1"/>
      <c r="F184" s="1"/>
      <c r="G184" s="1"/>
      <c r="H184" s="1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40"/>
      <c r="C185" s="1"/>
      <c r="D185" s="1"/>
      <c r="E185" s="1"/>
      <c r="F185" s="1"/>
      <c r="G185" s="1"/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40"/>
      <c r="C186" s="1"/>
      <c r="D186" s="1"/>
      <c r="E186" s="1"/>
      <c r="F186" s="1"/>
      <c r="G186" s="1"/>
      <c r="H186" s="1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40"/>
      <c r="C187" s="1"/>
      <c r="D187" s="1"/>
      <c r="E187" s="1"/>
      <c r="F187" s="1"/>
      <c r="G187" s="1"/>
      <c r="H187" s="1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40"/>
      <c r="C188" s="1"/>
      <c r="D188" s="1"/>
      <c r="E188" s="1"/>
      <c r="F188" s="1"/>
      <c r="G188" s="1"/>
      <c r="H188" s="1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40"/>
      <c r="C189" s="1"/>
      <c r="D189" s="1"/>
      <c r="E189" s="1"/>
      <c r="F189" s="1"/>
      <c r="G189" s="1"/>
      <c r="H189" s="1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40"/>
      <c r="C190" s="1"/>
      <c r="D190" s="1"/>
      <c r="E190" s="1"/>
      <c r="F190" s="1"/>
      <c r="G190" s="1"/>
      <c r="H190" s="1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40"/>
      <c r="C191" s="1"/>
      <c r="D191" s="1"/>
      <c r="E191" s="1"/>
      <c r="F191" s="1"/>
      <c r="G191" s="1"/>
      <c r="H191" s="1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40"/>
      <c r="C192" s="1"/>
      <c r="D192" s="1"/>
      <c r="E192" s="1"/>
      <c r="F192" s="1"/>
      <c r="G192" s="1"/>
      <c r="H192" s="1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40"/>
      <c r="C193" s="1"/>
      <c r="D193" s="1"/>
      <c r="E193" s="1"/>
      <c r="F193" s="1"/>
      <c r="G193" s="1"/>
      <c r="H193" s="1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40"/>
      <c r="C194" s="1"/>
      <c r="D194" s="1"/>
      <c r="E194" s="1"/>
      <c r="F194" s="1"/>
      <c r="G194" s="1"/>
      <c r="H194" s="1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40"/>
      <c r="C195" s="1"/>
      <c r="D195" s="1"/>
      <c r="E195" s="1"/>
      <c r="F195" s="1"/>
      <c r="G195" s="1"/>
      <c r="H195" s="1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40"/>
      <c r="C196" s="1"/>
      <c r="D196" s="1"/>
      <c r="E196" s="1"/>
      <c r="F196" s="1"/>
      <c r="G196" s="1"/>
      <c r="H196" s="1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40"/>
      <c r="C197" s="1"/>
      <c r="D197" s="1"/>
      <c r="E197" s="1"/>
      <c r="F197" s="1"/>
      <c r="G197" s="1"/>
      <c r="H197" s="1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40"/>
      <c r="C198" s="1"/>
      <c r="D198" s="1"/>
      <c r="E198" s="1"/>
      <c r="F198" s="1"/>
      <c r="G198" s="1"/>
      <c r="H198" s="1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40"/>
      <c r="C199" s="1"/>
      <c r="D199" s="1"/>
      <c r="E199" s="1"/>
      <c r="F199" s="1"/>
      <c r="G199" s="1"/>
      <c r="H199" s="1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40"/>
      <c r="C200" s="1"/>
      <c r="D200" s="1"/>
      <c r="E200" s="1"/>
      <c r="F200" s="1"/>
      <c r="G200" s="1"/>
      <c r="H200" s="1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40"/>
      <c r="C201" s="1"/>
      <c r="D201" s="1"/>
      <c r="E201" s="1"/>
      <c r="F201" s="1"/>
      <c r="G201" s="1"/>
      <c r="H201" s="1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40"/>
      <c r="C202" s="1"/>
      <c r="D202" s="1"/>
      <c r="E202" s="1"/>
      <c r="F202" s="1"/>
      <c r="G202" s="1"/>
      <c r="H202" s="1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40"/>
      <c r="C203" s="1"/>
      <c r="D203" s="1"/>
      <c r="E203" s="1"/>
      <c r="F203" s="1"/>
      <c r="G203" s="1"/>
      <c r="H203" s="1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40"/>
      <c r="C204" s="1"/>
      <c r="D204" s="1"/>
      <c r="E204" s="1"/>
      <c r="F204" s="1"/>
      <c r="G204" s="1"/>
      <c r="H204" s="1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40"/>
      <c r="C205" s="1"/>
      <c r="D205" s="1"/>
      <c r="E205" s="1"/>
      <c r="F205" s="1"/>
      <c r="G205" s="1"/>
      <c r="H205" s="1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40"/>
      <c r="C206" s="1"/>
      <c r="D206" s="1"/>
      <c r="E206" s="1"/>
      <c r="F206" s="1"/>
      <c r="G206" s="1"/>
      <c r="H206" s="1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40"/>
      <c r="C207" s="1"/>
      <c r="D207" s="1"/>
      <c r="E207" s="1"/>
      <c r="F207" s="1"/>
      <c r="G207" s="1"/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40"/>
      <c r="C208" s="1"/>
      <c r="D208" s="1"/>
      <c r="E208" s="1"/>
      <c r="F208" s="1"/>
      <c r="G208" s="1"/>
      <c r="H208" s="1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40"/>
      <c r="C209" s="1"/>
      <c r="D209" s="1"/>
      <c r="E209" s="1"/>
      <c r="F209" s="1"/>
      <c r="G209" s="1"/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40"/>
      <c r="C210" s="1"/>
      <c r="D210" s="1"/>
      <c r="E210" s="1"/>
      <c r="F210" s="1"/>
      <c r="G210" s="1"/>
      <c r="H210" s="1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40"/>
      <c r="C211" s="1"/>
      <c r="D211" s="1"/>
      <c r="E211" s="1"/>
      <c r="F211" s="1"/>
      <c r="G211" s="1"/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40"/>
      <c r="C212" s="1"/>
      <c r="D212" s="1"/>
      <c r="E212" s="1"/>
      <c r="F212" s="1"/>
      <c r="G212" s="1"/>
      <c r="H212" s="1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40"/>
      <c r="C213" s="1"/>
      <c r="D213" s="1"/>
      <c r="E213" s="1"/>
      <c r="F213" s="1"/>
      <c r="G213" s="1"/>
      <c r="H213" s="1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40"/>
      <c r="C214" s="1"/>
      <c r="D214" s="1"/>
      <c r="E214" s="1"/>
      <c r="F214" s="1"/>
      <c r="G214" s="1"/>
      <c r="H214" s="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40"/>
      <c r="C215" s="1"/>
      <c r="D215" s="1"/>
      <c r="E215" s="1"/>
      <c r="F215" s="1"/>
      <c r="G215" s="1"/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40"/>
      <c r="C216" s="1"/>
      <c r="D216" s="1"/>
      <c r="E216" s="1"/>
      <c r="F216" s="1"/>
      <c r="G216" s="1"/>
      <c r="H216" s="1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40"/>
      <c r="C217" s="1"/>
      <c r="D217" s="1"/>
      <c r="E217" s="1"/>
      <c r="F217" s="1"/>
      <c r="G217" s="1"/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40"/>
      <c r="C218" s="1"/>
      <c r="D218" s="1"/>
      <c r="E218" s="1"/>
      <c r="F218" s="1"/>
      <c r="G218" s="1"/>
      <c r="H218" s="1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40"/>
      <c r="C219" s="1"/>
      <c r="D219" s="1"/>
      <c r="E219" s="1"/>
      <c r="F219" s="1"/>
      <c r="G219" s="1"/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40"/>
      <c r="C220" s="1"/>
      <c r="D220" s="1"/>
      <c r="E220" s="1"/>
      <c r="F220" s="1"/>
      <c r="G220" s="1"/>
      <c r="H220" s="1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J20" xr:uid="{00000000-0009-0000-0000-000007000000}"/>
  <mergeCells count="2">
    <mergeCell ref="A1:J1"/>
    <mergeCell ref="H3:H2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4" workbookViewId="0">
      <selection activeCell="A3" sqref="A3:G19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16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44" t="s">
        <v>1</v>
      </c>
      <c r="B2" s="45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1" t="s">
        <v>10</v>
      </c>
      <c r="I2" s="26" t="s">
        <v>5</v>
      </c>
      <c r="J2" s="33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/>
      <c r="Y2" s="2"/>
      <c r="Z2" s="2"/>
    </row>
    <row r="3" spans="1:26" ht="15.75" customHeight="1">
      <c r="A3" s="8">
        <v>1</v>
      </c>
      <c r="B3" s="39"/>
      <c r="C3" s="8"/>
      <c r="D3" s="8"/>
      <c r="E3" s="8"/>
      <c r="F3" s="8" t="s">
        <v>220</v>
      </c>
      <c r="G3" s="8" t="s">
        <v>221</v>
      </c>
      <c r="H3" s="50" t="s">
        <v>45</v>
      </c>
      <c r="I3" s="36" t="s">
        <v>19</v>
      </c>
      <c r="J3" s="30">
        <f>5/18</f>
        <v>0.27777777777777779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>
        <f t="shared" ref="A4:A18" si="0">A3+1</f>
        <v>2</v>
      </c>
      <c r="B4" s="39"/>
      <c r="C4" s="8"/>
      <c r="D4" s="8"/>
      <c r="E4" s="8"/>
      <c r="F4" s="8" t="s">
        <v>220</v>
      </c>
      <c r="G4" s="8" t="s">
        <v>221</v>
      </c>
      <c r="H4" s="51"/>
      <c r="I4" s="36" t="s">
        <v>15</v>
      </c>
      <c r="J4" s="30">
        <f>8/18</f>
        <v>0.44444444444444442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>
        <f t="shared" si="0"/>
        <v>3</v>
      </c>
      <c r="B5" s="39"/>
      <c r="C5" s="8"/>
      <c r="D5" s="8"/>
      <c r="E5" s="8"/>
      <c r="F5" s="8" t="s">
        <v>220</v>
      </c>
      <c r="G5" s="8" t="s">
        <v>221</v>
      </c>
      <c r="H5" s="51"/>
      <c r="I5" s="36" t="s">
        <v>23</v>
      </c>
      <c r="J5" s="30">
        <f>5/18</f>
        <v>0.27777777777777779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>
        <f t="shared" si="0"/>
        <v>4</v>
      </c>
      <c r="B6" s="39"/>
      <c r="C6" s="8"/>
      <c r="D6" s="8"/>
      <c r="E6" s="8"/>
      <c r="F6" s="8" t="s">
        <v>220</v>
      </c>
      <c r="G6" s="8" t="s">
        <v>221</v>
      </c>
      <c r="H6" s="5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>
        <f t="shared" si="0"/>
        <v>5</v>
      </c>
      <c r="B7" s="39"/>
      <c r="C7" s="8"/>
      <c r="D7" s="8"/>
      <c r="E7" s="8"/>
      <c r="F7" s="8" t="s">
        <v>220</v>
      </c>
      <c r="G7" s="8" t="s">
        <v>221</v>
      </c>
      <c r="H7" s="5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>
        <f t="shared" si="0"/>
        <v>6</v>
      </c>
      <c r="B8" s="39"/>
      <c r="C8" s="8"/>
      <c r="D8" s="8"/>
      <c r="E8" s="8"/>
      <c r="F8" s="8" t="s">
        <v>220</v>
      </c>
      <c r="G8" s="8" t="s">
        <v>221</v>
      </c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>
        <f t="shared" si="0"/>
        <v>7</v>
      </c>
      <c r="B9" s="39"/>
      <c r="C9" s="8"/>
      <c r="D9" s="8"/>
      <c r="E9" s="8"/>
      <c r="F9" s="8" t="s">
        <v>220</v>
      </c>
      <c r="G9" s="8" t="s">
        <v>221</v>
      </c>
      <c r="H9" s="5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">
        <f t="shared" si="0"/>
        <v>8</v>
      </c>
      <c r="B10" s="39"/>
      <c r="C10" s="8"/>
      <c r="D10" s="8"/>
      <c r="E10" s="8"/>
      <c r="F10" s="8" t="s">
        <v>220</v>
      </c>
      <c r="G10" s="8" t="s">
        <v>221</v>
      </c>
      <c r="H10" s="5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8">
        <f t="shared" si="0"/>
        <v>9</v>
      </c>
      <c r="B11" s="39"/>
      <c r="C11" s="8"/>
      <c r="D11" s="8"/>
      <c r="E11" s="8"/>
      <c r="F11" s="8" t="s">
        <v>220</v>
      </c>
      <c r="G11" s="8" t="s">
        <v>221</v>
      </c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8">
        <f t="shared" si="0"/>
        <v>10</v>
      </c>
      <c r="B12" s="39"/>
      <c r="C12" s="8"/>
      <c r="D12" s="8"/>
      <c r="E12" s="8"/>
      <c r="F12" s="8" t="s">
        <v>220</v>
      </c>
      <c r="G12" s="8" t="s">
        <v>221</v>
      </c>
      <c r="H12" s="5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8">
        <f t="shared" si="0"/>
        <v>11</v>
      </c>
      <c r="B13" s="39"/>
      <c r="C13" s="8"/>
      <c r="D13" s="8"/>
      <c r="E13" s="8"/>
      <c r="F13" s="8" t="s">
        <v>220</v>
      </c>
      <c r="G13" s="8" t="s">
        <v>221</v>
      </c>
      <c r="H13" s="5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8">
        <f t="shared" si="0"/>
        <v>12</v>
      </c>
      <c r="B14" s="39"/>
      <c r="C14" s="8"/>
      <c r="D14" s="8"/>
      <c r="E14" s="8"/>
      <c r="F14" s="8" t="s">
        <v>220</v>
      </c>
      <c r="G14" s="8" t="s">
        <v>221</v>
      </c>
      <c r="H14" s="5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8">
        <f t="shared" si="0"/>
        <v>13</v>
      </c>
      <c r="B15" s="39"/>
      <c r="C15" s="8"/>
      <c r="D15" s="8"/>
      <c r="E15" s="8"/>
      <c r="F15" s="8" t="s">
        <v>220</v>
      </c>
      <c r="G15" s="8" t="s">
        <v>221</v>
      </c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8">
        <f t="shared" si="0"/>
        <v>14</v>
      </c>
      <c r="B16" s="39"/>
      <c r="C16" s="8"/>
      <c r="D16" s="8"/>
      <c r="E16" s="8"/>
      <c r="F16" s="8" t="s">
        <v>220</v>
      </c>
      <c r="G16" s="8" t="s">
        <v>221</v>
      </c>
      <c r="H16" s="5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>
        <f t="shared" si="0"/>
        <v>15</v>
      </c>
      <c r="B17" s="39"/>
      <c r="C17" s="8"/>
      <c r="D17" s="8"/>
      <c r="E17" s="8"/>
      <c r="F17" s="8" t="s">
        <v>220</v>
      </c>
      <c r="G17" s="8" t="s">
        <v>221</v>
      </c>
      <c r="H17" s="5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8">
        <f t="shared" si="0"/>
        <v>16</v>
      </c>
      <c r="B18" s="39"/>
      <c r="C18" s="8"/>
      <c r="D18" s="8"/>
      <c r="E18" s="8"/>
      <c r="F18" s="8" t="s">
        <v>220</v>
      </c>
      <c r="G18" s="8" t="s">
        <v>221</v>
      </c>
      <c r="H18" s="5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/>
      <c r="B19" s="40"/>
      <c r="C19" s="1"/>
      <c r="D19" s="1"/>
      <c r="E19" s="1"/>
      <c r="F19" s="1"/>
      <c r="G19" s="1"/>
      <c r="H19" s="4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/>
      <c r="B20" s="40"/>
      <c r="C20" s="1"/>
      <c r="D20" s="1"/>
      <c r="E20" s="1"/>
      <c r="F20" s="1"/>
      <c r="G20" s="1"/>
      <c r="H20" s="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40"/>
      <c r="C21" s="1"/>
      <c r="D21" s="1"/>
      <c r="E21" s="1"/>
      <c r="F21" s="1"/>
      <c r="G21" s="1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40"/>
      <c r="C22" s="1"/>
      <c r="D22" s="1"/>
      <c r="E22" s="1"/>
      <c r="F22" s="1"/>
      <c r="G22" s="1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40"/>
      <c r="C23" s="1"/>
      <c r="D23" s="1"/>
      <c r="E23" s="1"/>
      <c r="F23" s="1"/>
      <c r="G23" s="1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40"/>
      <c r="C24" s="1"/>
      <c r="D24" s="1"/>
      <c r="E24" s="1"/>
      <c r="F24" s="1"/>
      <c r="G24" s="1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40"/>
      <c r="C25" s="1"/>
      <c r="D25" s="1"/>
      <c r="E25" s="1"/>
      <c r="F25" s="1"/>
      <c r="G25" s="1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40"/>
      <c r="C26" s="1"/>
      <c r="D26" s="1"/>
      <c r="E26" s="1"/>
      <c r="F26" s="1"/>
      <c r="G26" s="1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40"/>
      <c r="C27" s="1"/>
      <c r="D27" s="1"/>
      <c r="E27" s="1"/>
      <c r="F27" s="1"/>
      <c r="G27" s="1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40"/>
      <c r="C28" s="1"/>
      <c r="D28" s="1"/>
      <c r="E28" s="1"/>
      <c r="F28" s="1"/>
      <c r="G28" s="1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40"/>
      <c r="C29" s="1"/>
      <c r="D29" s="1"/>
      <c r="E29" s="1"/>
      <c r="F29" s="1"/>
      <c r="G29" s="1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40"/>
      <c r="C30" s="1"/>
      <c r="D30" s="1"/>
      <c r="E30" s="1"/>
      <c r="F30" s="1"/>
      <c r="G30" s="1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40"/>
      <c r="C31" s="1"/>
      <c r="D31" s="1"/>
      <c r="E31" s="1"/>
      <c r="F31" s="1"/>
      <c r="G31" s="1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40"/>
      <c r="C32" s="1"/>
      <c r="D32" s="1"/>
      <c r="E32" s="1"/>
      <c r="F32" s="1"/>
      <c r="G32" s="1"/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40"/>
      <c r="C33" s="1"/>
      <c r="D33" s="1"/>
      <c r="E33" s="1"/>
      <c r="F33" s="1"/>
      <c r="G33" s="1"/>
      <c r="H33" s="1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40"/>
      <c r="C34" s="1"/>
      <c r="D34" s="1"/>
      <c r="E34" s="1"/>
      <c r="F34" s="1"/>
      <c r="G34" s="1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40"/>
      <c r="C35" s="1"/>
      <c r="D35" s="1"/>
      <c r="E35" s="1"/>
      <c r="F35" s="1"/>
      <c r="G35" s="1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40"/>
      <c r="C36" s="1"/>
      <c r="D36" s="1"/>
      <c r="E36" s="1"/>
      <c r="F36" s="1"/>
      <c r="G36" s="1"/>
      <c r="H36" s="1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40"/>
      <c r="C37" s="1"/>
      <c r="D37" s="1"/>
      <c r="E37" s="1"/>
      <c r="F37" s="1"/>
      <c r="G37" s="1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40"/>
      <c r="C38" s="1"/>
      <c r="D38" s="1"/>
      <c r="E38" s="1"/>
      <c r="F38" s="1"/>
      <c r="G38" s="1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40"/>
      <c r="C39" s="1"/>
      <c r="D39" s="1"/>
      <c r="E39" s="1"/>
      <c r="F39" s="1"/>
      <c r="G39" s="1"/>
      <c r="H39" s="1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40"/>
      <c r="C40" s="1"/>
      <c r="D40" s="1"/>
      <c r="E40" s="1"/>
      <c r="F40" s="1"/>
      <c r="G40" s="1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40"/>
      <c r="C41" s="1"/>
      <c r="D41" s="1"/>
      <c r="E41" s="1"/>
      <c r="F41" s="1"/>
      <c r="G41" s="1"/>
      <c r="H41" s="1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40"/>
      <c r="C42" s="1"/>
      <c r="D42" s="1"/>
      <c r="E42" s="1"/>
      <c r="F42" s="1"/>
      <c r="G42" s="1"/>
      <c r="H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40"/>
      <c r="C43" s="1"/>
      <c r="D43" s="1"/>
      <c r="E43" s="1"/>
      <c r="F43" s="1"/>
      <c r="G43" s="1"/>
      <c r="H43" s="1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40"/>
      <c r="C44" s="1"/>
      <c r="D44" s="1"/>
      <c r="E44" s="1"/>
      <c r="F44" s="1"/>
      <c r="G44" s="1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40"/>
      <c r="C45" s="1"/>
      <c r="D45" s="1"/>
      <c r="E45" s="1"/>
      <c r="F45" s="1"/>
      <c r="G45" s="1"/>
      <c r="H45" s="1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40"/>
      <c r="C46" s="1"/>
      <c r="D46" s="1"/>
      <c r="E46" s="1"/>
      <c r="F46" s="1"/>
      <c r="G46" s="1"/>
      <c r="H46" s="1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40"/>
      <c r="C47" s="1"/>
      <c r="D47" s="1"/>
      <c r="E47" s="1"/>
      <c r="F47" s="1"/>
      <c r="G47" s="1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40"/>
      <c r="C48" s="1"/>
      <c r="D48" s="1"/>
      <c r="E48" s="1"/>
      <c r="F48" s="1"/>
      <c r="G48" s="1"/>
      <c r="H48" s="1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40"/>
      <c r="C49" s="1"/>
      <c r="D49" s="1"/>
      <c r="E49" s="1"/>
      <c r="F49" s="1"/>
      <c r="G49" s="1"/>
      <c r="H49" s="1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40"/>
      <c r="C50" s="1"/>
      <c r="D50" s="1"/>
      <c r="E50" s="1"/>
      <c r="F50" s="1"/>
      <c r="G50" s="1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40"/>
      <c r="C51" s="1"/>
      <c r="D51" s="1"/>
      <c r="E51" s="1"/>
      <c r="F51" s="1"/>
      <c r="G51" s="1"/>
      <c r="H51" s="1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40"/>
      <c r="C52" s="1"/>
      <c r="D52" s="1"/>
      <c r="E52" s="1"/>
      <c r="F52" s="1"/>
      <c r="G52" s="1"/>
      <c r="H52" s="1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40"/>
      <c r="C53" s="1"/>
      <c r="D53" s="1"/>
      <c r="E53" s="1"/>
      <c r="F53" s="1"/>
      <c r="G53" s="1"/>
      <c r="H53" s="1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40"/>
      <c r="C54" s="1"/>
      <c r="D54" s="1"/>
      <c r="E54" s="1"/>
      <c r="F54" s="1"/>
      <c r="G54" s="1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40"/>
      <c r="C55" s="1"/>
      <c r="D55" s="1"/>
      <c r="E55" s="1"/>
      <c r="F55" s="1"/>
      <c r="G55" s="1"/>
      <c r="H55" s="1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40"/>
      <c r="C56" s="1"/>
      <c r="D56" s="1"/>
      <c r="E56" s="1"/>
      <c r="F56" s="1"/>
      <c r="G56" s="1"/>
      <c r="H56" s="1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40"/>
      <c r="C57" s="1"/>
      <c r="D57" s="1"/>
      <c r="E57" s="1"/>
      <c r="F57" s="1"/>
      <c r="G57" s="1"/>
      <c r="H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40"/>
      <c r="C58" s="1"/>
      <c r="D58" s="1"/>
      <c r="E58" s="1"/>
      <c r="F58" s="1"/>
      <c r="G58" s="1"/>
      <c r="H58" s="1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40"/>
      <c r="C59" s="1"/>
      <c r="D59" s="1"/>
      <c r="E59" s="1"/>
      <c r="F59" s="1"/>
      <c r="G59" s="1"/>
      <c r="H59" s="1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40"/>
      <c r="C60" s="1"/>
      <c r="D60" s="1"/>
      <c r="E60" s="1"/>
      <c r="F60" s="1"/>
      <c r="G60" s="1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40"/>
      <c r="C61" s="1"/>
      <c r="D61" s="1"/>
      <c r="E61" s="1"/>
      <c r="F61" s="1"/>
      <c r="G61" s="1"/>
      <c r="H61" s="1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40"/>
      <c r="C62" s="1"/>
      <c r="D62" s="1"/>
      <c r="E62" s="1"/>
      <c r="F62" s="1"/>
      <c r="G62" s="1"/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40"/>
      <c r="C63" s="1"/>
      <c r="D63" s="1"/>
      <c r="E63" s="1"/>
      <c r="F63" s="1"/>
      <c r="G63" s="1"/>
      <c r="H63" s="1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40"/>
      <c r="C64" s="1"/>
      <c r="D64" s="1"/>
      <c r="E64" s="1"/>
      <c r="F64" s="1"/>
      <c r="G64" s="1"/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40"/>
      <c r="C65" s="1"/>
      <c r="D65" s="1"/>
      <c r="E65" s="1"/>
      <c r="F65" s="1"/>
      <c r="G65" s="1"/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40"/>
      <c r="C66" s="1"/>
      <c r="D66" s="1"/>
      <c r="E66" s="1"/>
      <c r="F66" s="1"/>
      <c r="G66" s="1"/>
      <c r="H66" s="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40"/>
      <c r="C67" s="1"/>
      <c r="D67" s="1"/>
      <c r="E67" s="1"/>
      <c r="F67" s="1"/>
      <c r="G67" s="1"/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40"/>
      <c r="C68" s="1"/>
      <c r="D68" s="1"/>
      <c r="E68" s="1"/>
      <c r="F68" s="1"/>
      <c r="G68" s="1"/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40"/>
      <c r="C69" s="1"/>
      <c r="D69" s="1"/>
      <c r="E69" s="1"/>
      <c r="F69" s="1"/>
      <c r="G69" s="1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40"/>
      <c r="C70" s="1"/>
      <c r="D70" s="1"/>
      <c r="E70" s="1"/>
      <c r="F70" s="1"/>
      <c r="G70" s="1"/>
      <c r="H70" s="1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40"/>
      <c r="C71" s="1"/>
      <c r="D71" s="1"/>
      <c r="E71" s="1"/>
      <c r="F71" s="1"/>
      <c r="G71" s="1"/>
      <c r="H71" s="1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40"/>
      <c r="C72" s="1"/>
      <c r="D72" s="1"/>
      <c r="E72" s="1"/>
      <c r="F72" s="1"/>
      <c r="G72" s="1"/>
      <c r="H72" s="1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40"/>
      <c r="C73" s="1"/>
      <c r="D73" s="1"/>
      <c r="E73" s="1"/>
      <c r="F73" s="1"/>
      <c r="G73" s="1"/>
      <c r="H73" s="1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40"/>
      <c r="C74" s="1"/>
      <c r="D74" s="1"/>
      <c r="E74" s="1"/>
      <c r="F74" s="1"/>
      <c r="G74" s="1"/>
      <c r="H74" s="1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40"/>
      <c r="C75" s="1"/>
      <c r="D75" s="1"/>
      <c r="E75" s="1"/>
      <c r="F75" s="1"/>
      <c r="G75" s="1"/>
      <c r="H75" s="1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40"/>
      <c r="C76" s="1"/>
      <c r="D76" s="1"/>
      <c r="E76" s="1"/>
      <c r="F76" s="1"/>
      <c r="G76" s="1"/>
      <c r="H76" s="1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40"/>
      <c r="C77" s="1"/>
      <c r="D77" s="1"/>
      <c r="E77" s="1"/>
      <c r="F77" s="1"/>
      <c r="G77" s="1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40"/>
      <c r="C78" s="1"/>
      <c r="D78" s="1"/>
      <c r="E78" s="1"/>
      <c r="F78" s="1"/>
      <c r="G78" s="1"/>
      <c r="H78" s="1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40"/>
      <c r="C79" s="1"/>
      <c r="D79" s="1"/>
      <c r="E79" s="1"/>
      <c r="F79" s="1"/>
      <c r="G79" s="1"/>
      <c r="H79" s="1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40"/>
      <c r="C80" s="1"/>
      <c r="D80" s="1"/>
      <c r="E80" s="1"/>
      <c r="F80" s="1"/>
      <c r="G80" s="1"/>
      <c r="H80" s="1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40"/>
      <c r="C81" s="1"/>
      <c r="D81" s="1"/>
      <c r="E81" s="1"/>
      <c r="F81" s="1"/>
      <c r="G81" s="1"/>
      <c r="H81" s="1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40"/>
      <c r="C82" s="1"/>
      <c r="D82" s="1"/>
      <c r="E82" s="1"/>
      <c r="F82" s="1"/>
      <c r="G82" s="1"/>
      <c r="H82" s="1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40"/>
      <c r="C83" s="1"/>
      <c r="D83" s="1"/>
      <c r="E83" s="1"/>
      <c r="F83" s="1"/>
      <c r="G83" s="1"/>
      <c r="H83" s="1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40"/>
      <c r="C84" s="1"/>
      <c r="D84" s="1"/>
      <c r="E84" s="1"/>
      <c r="F84" s="1"/>
      <c r="G84" s="1"/>
      <c r="H84" s="1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40"/>
      <c r="C85" s="1"/>
      <c r="D85" s="1"/>
      <c r="E85" s="1"/>
      <c r="F85" s="1"/>
      <c r="G85" s="1"/>
      <c r="H85" s="1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40"/>
      <c r="C86" s="1"/>
      <c r="D86" s="1"/>
      <c r="E86" s="1"/>
      <c r="F86" s="1"/>
      <c r="G86" s="1"/>
      <c r="H86" s="1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40"/>
      <c r="C87" s="1"/>
      <c r="D87" s="1"/>
      <c r="E87" s="1"/>
      <c r="F87" s="1"/>
      <c r="G87" s="1"/>
      <c r="H87" s="1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40"/>
      <c r="C88" s="1"/>
      <c r="D88" s="1"/>
      <c r="E88" s="1"/>
      <c r="F88" s="1"/>
      <c r="G88" s="1"/>
      <c r="H88" s="1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40"/>
      <c r="C89" s="1"/>
      <c r="D89" s="1"/>
      <c r="E89" s="1"/>
      <c r="F89" s="1"/>
      <c r="G89" s="1"/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40"/>
      <c r="C90" s="1"/>
      <c r="D90" s="1"/>
      <c r="E90" s="1"/>
      <c r="F90" s="1"/>
      <c r="G90" s="1"/>
      <c r="H90" s="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40"/>
      <c r="C91" s="1"/>
      <c r="D91" s="1"/>
      <c r="E91" s="1"/>
      <c r="F91" s="1"/>
      <c r="G91" s="1"/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40"/>
      <c r="C92" s="1"/>
      <c r="D92" s="1"/>
      <c r="E92" s="1"/>
      <c r="F92" s="1"/>
      <c r="G92" s="1"/>
      <c r="H92" s="1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40"/>
      <c r="C93" s="1"/>
      <c r="D93" s="1"/>
      <c r="E93" s="1"/>
      <c r="F93" s="1"/>
      <c r="G93" s="1"/>
      <c r="H93" s="1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40"/>
      <c r="C94" s="1"/>
      <c r="D94" s="1"/>
      <c r="E94" s="1"/>
      <c r="F94" s="1"/>
      <c r="G94" s="1"/>
      <c r="H94" s="1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40"/>
      <c r="C95" s="1"/>
      <c r="D95" s="1"/>
      <c r="E95" s="1"/>
      <c r="F95" s="1"/>
      <c r="G95" s="1"/>
      <c r="H95" s="1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40"/>
      <c r="C96" s="1"/>
      <c r="D96" s="1"/>
      <c r="E96" s="1"/>
      <c r="F96" s="1"/>
      <c r="G96" s="1"/>
      <c r="H96" s="1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40"/>
      <c r="C97" s="1"/>
      <c r="D97" s="1"/>
      <c r="E97" s="1"/>
      <c r="F97" s="1"/>
      <c r="G97" s="1"/>
      <c r="H97" s="1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40"/>
      <c r="C98" s="1"/>
      <c r="D98" s="1"/>
      <c r="E98" s="1"/>
      <c r="F98" s="1"/>
      <c r="G98" s="1"/>
      <c r="H98" s="1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40"/>
      <c r="C99" s="1"/>
      <c r="D99" s="1"/>
      <c r="E99" s="1"/>
      <c r="F99" s="1"/>
      <c r="G99" s="1"/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40"/>
      <c r="C100" s="1"/>
      <c r="D100" s="1"/>
      <c r="E100" s="1"/>
      <c r="F100" s="1"/>
      <c r="G100" s="1"/>
      <c r="H100" s="1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40"/>
      <c r="C101" s="1"/>
      <c r="D101" s="1"/>
      <c r="E101" s="1"/>
      <c r="F101" s="1"/>
      <c r="G101" s="1"/>
      <c r="H101" s="1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40"/>
      <c r="C102" s="1"/>
      <c r="D102" s="1"/>
      <c r="E102" s="1"/>
      <c r="F102" s="1"/>
      <c r="G102" s="1"/>
      <c r="H102" s="1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40"/>
      <c r="C103" s="1"/>
      <c r="D103" s="1"/>
      <c r="E103" s="1"/>
      <c r="F103" s="1"/>
      <c r="G103" s="1"/>
      <c r="H103" s="1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40"/>
      <c r="C104" s="1"/>
      <c r="D104" s="1"/>
      <c r="E104" s="1"/>
      <c r="F104" s="1"/>
      <c r="G104" s="1"/>
      <c r="H104" s="1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40"/>
      <c r="C105" s="1"/>
      <c r="D105" s="1"/>
      <c r="E105" s="1"/>
      <c r="F105" s="1"/>
      <c r="G105" s="1"/>
      <c r="H105" s="1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40"/>
      <c r="C106" s="1"/>
      <c r="D106" s="1"/>
      <c r="E106" s="1"/>
      <c r="F106" s="1"/>
      <c r="G106" s="1"/>
      <c r="H106" s="1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40"/>
      <c r="C107" s="1"/>
      <c r="D107" s="1"/>
      <c r="E107" s="1"/>
      <c r="F107" s="1"/>
      <c r="G107" s="1"/>
      <c r="H107" s="1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40"/>
      <c r="C108" s="1"/>
      <c r="D108" s="1"/>
      <c r="E108" s="1"/>
      <c r="F108" s="1"/>
      <c r="G108" s="1"/>
      <c r="H108" s="1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40"/>
      <c r="C109" s="1"/>
      <c r="D109" s="1"/>
      <c r="E109" s="1"/>
      <c r="F109" s="1"/>
      <c r="G109" s="1"/>
      <c r="H109" s="1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40"/>
      <c r="C110" s="1"/>
      <c r="D110" s="1"/>
      <c r="E110" s="1"/>
      <c r="F110" s="1"/>
      <c r="G110" s="1"/>
      <c r="H110" s="1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40"/>
      <c r="C111" s="1"/>
      <c r="D111" s="1"/>
      <c r="E111" s="1"/>
      <c r="F111" s="1"/>
      <c r="G111" s="1"/>
      <c r="H111" s="1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40"/>
      <c r="C112" s="1"/>
      <c r="D112" s="1"/>
      <c r="E112" s="1"/>
      <c r="F112" s="1"/>
      <c r="G112" s="1"/>
      <c r="H112" s="1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40"/>
      <c r="C113" s="1"/>
      <c r="D113" s="1"/>
      <c r="E113" s="1"/>
      <c r="F113" s="1"/>
      <c r="G113" s="1"/>
      <c r="H113" s="1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40"/>
      <c r="C114" s="1"/>
      <c r="D114" s="1"/>
      <c r="E114" s="1"/>
      <c r="F114" s="1"/>
      <c r="G114" s="1"/>
      <c r="H114" s="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40"/>
      <c r="C115" s="1"/>
      <c r="D115" s="1"/>
      <c r="E115" s="1"/>
      <c r="F115" s="1"/>
      <c r="G115" s="1"/>
      <c r="H115" s="1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40"/>
      <c r="C116" s="1"/>
      <c r="D116" s="1"/>
      <c r="E116" s="1"/>
      <c r="F116" s="1"/>
      <c r="G116" s="1"/>
      <c r="H116" s="1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40"/>
      <c r="C117" s="1"/>
      <c r="D117" s="1"/>
      <c r="E117" s="1"/>
      <c r="F117" s="1"/>
      <c r="G117" s="1"/>
      <c r="H117" s="1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40"/>
      <c r="C118" s="1"/>
      <c r="D118" s="1"/>
      <c r="E118" s="1"/>
      <c r="F118" s="1"/>
      <c r="G118" s="1"/>
      <c r="H118" s="1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40"/>
      <c r="C119" s="1"/>
      <c r="D119" s="1"/>
      <c r="E119" s="1"/>
      <c r="F119" s="1"/>
      <c r="G119" s="1"/>
      <c r="H119" s="1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40"/>
      <c r="C120" s="1"/>
      <c r="D120" s="1"/>
      <c r="E120" s="1"/>
      <c r="F120" s="1"/>
      <c r="G120" s="1"/>
      <c r="H120" s="1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40"/>
      <c r="C121" s="1"/>
      <c r="D121" s="1"/>
      <c r="E121" s="1"/>
      <c r="F121" s="1"/>
      <c r="G121" s="1"/>
      <c r="H121" s="1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40"/>
      <c r="C122" s="1"/>
      <c r="D122" s="1"/>
      <c r="E122" s="1"/>
      <c r="F122" s="1"/>
      <c r="G122" s="1"/>
      <c r="H122" s="1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40"/>
      <c r="C123" s="1"/>
      <c r="D123" s="1"/>
      <c r="E123" s="1"/>
      <c r="F123" s="1"/>
      <c r="G123" s="1"/>
      <c r="H123" s="1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40"/>
      <c r="C124" s="1"/>
      <c r="D124" s="1"/>
      <c r="E124" s="1"/>
      <c r="F124" s="1"/>
      <c r="G124" s="1"/>
      <c r="H124" s="1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40"/>
      <c r="C125" s="1"/>
      <c r="D125" s="1"/>
      <c r="E125" s="1"/>
      <c r="F125" s="1"/>
      <c r="G125" s="1"/>
      <c r="H125" s="1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40"/>
      <c r="C126" s="1"/>
      <c r="D126" s="1"/>
      <c r="E126" s="1"/>
      <c r="F126" s="1"/>
      <c r="G126" s="1"/>
      <c r="H126" s="1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40"/>
      <c r="C127" s="1"/>
      <c r="D127" s="1"/>
      <c r="E127" s="1"/>
      <c r="F127" s="1"/>
      <c r="G127" s="1"/>
      <c r="H127" s="1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40"/>
      <c r="C128" s="1"/>
      <c r="D128" s="1"/>
      <c r="E128" s="1"/>
      <c r="F128" s="1"/>
      <c r="G128" s="1"/>
      <c r="H128" s="1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40"/>
      <c r="C129" s="1"/>
      <c r="D129" s="1"/>
      <c r="E129" s="1"/>
      <c r="F129" s="1"/>
      <c r="G129" s="1"/>
      <c r="H129" s="1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40"/>
      <c r="C130" s="1"/>
      <c r="D130" s="1"/>
      <c r="E130" s="1"/>
      <c r="F130" s="1"/>
      <c r="G130" s="1"/>
      <c r="H130" s="1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40"/>
      <c r="C131" s="1"/>
      <c r="D131" s="1"/>
      <c r="E131" s="1"/>
      <c r="F131" s="1"/>
      <c r="G131" s="1"/>
      <c r="H131" s="1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40"/>
      <c r="C132" s="1"/>
      <c r="D132" s="1"/>
      <c r="E132" s="1"/>
      <c r="F132" s="1"/>
      <c r="G132" s="1"/>
      <c r="H132" s="1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40"/>
      <c r="C133" s="1"/>
      <c r="D133" s="1"/>
      <c r="E133" s="1"/>
      <c r="F133" s="1"/>
      <c r="G133" s="1"/>
      <c r="H133" s="1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40"/>
      <c r="C134" s="1"/>
      <c r="D134" s="1"/>
      <c r="E134" s="1"/>
      <c r="F134" s="1"/>
      <c r="G134" s="1"/>
      <c r="H134" s="1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40"/>
      <c r="C135" s="1"/>
      <c r="D135" s="1"/>
      <c r="E135" s="1"/>
      <c r="F135" s="1"/>
      <c r="G135" s="1"/>
      <c r="H135" s="1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40"/>
      <c r="C136" s="1"/>
      <c r="D136" s="1"/>
      <c r="E136" s="1"/>
      <c r="F136" s="1"/>
      <c r="G136" s="1"/>
      <c r="H136" s="1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40"/>
      <c r="C137" s="1"/>
      <c r="D137" s="1"/>
      <c r="E137" s="1"/>
      <c r="F137" s="1"/>
      <c r="G137" s="1"/>
      <c r="H137" s="1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40"/>
      <c r="C138" s="1"/>
      <c r="D138" s="1"/>
      <c r="E138" s="1"/>
      <c r="F138" s="1"/>
      <c r="G138" s="1"/>
      <c r="H138" s="1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40"/>
      <c r="C139" s="1"/>
      <c r="D139" s="1"/>
      <c r="E139" s="1"/>
      <c r="F139" s="1"/>
      <c r="G139" s="1"/>
      <c r="H139" s="1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40"/>
      <c r="C140" s="1"/>
      <c r="D140" s="1"/>
      <c r="E140" s="1"/>
      <c r="F140" s="1"/>
      <c r="G140" s="1"/>
      <c r="H140" s="1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40"/>
      <c r="C141" s="1"/>
      <c r="D141" s="1"/>
      <c r="E141" s="1"/>
      <c r="F141" s="1"/>
      <c r="G141" s="1"/>
      <c r="H141" s="1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40"/>
      <c r="C142" s="1"/>
      <c r="D142" s="1"/>
      <c r="E142" s="1"/>
      <c r="F142" s="1"/>
      <c r="G142" s="1"/>
      <c r="H142" s="1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40"/>
      <c r="C143" s="1"/>
      <c r="D143" s="1"/>
      <c r="E143" s="1"/>
      <c r="F143" s="1"/>
      <c r="G143" s="1"/>
      <c r="H143" s="1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40"/>
      <c r="C144" s="1"/>
      <c r="D144" s="1"/>
      <c r="E144" s="1"/>
      <c r="F144" s="1"/>
      <c r="G144" s="1"/>
      <c r="H144" s="1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40"/>
      <c r="C145" s="1"/>
      <c r="D145" s="1"/>
      <c r="E145" s="1"/>
      <c r="F145" s="1"/>
      <c r="G145" s="1"/>
      <c r="H145" s="1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40"/>
      <c r="C146" s="1"/>
      <c r="D146" s="1"/>
      <c r="E146" s="1"/>
      <c r="F146" s="1"/>
      <c r="G146" s="1"/>
      <c r="H146" s="1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40"/>
      <c r="C147" s="1"/>
      <c r="D147" s="1"/>
      <c r="E147" s="1"/>
      <c r="F147" s="1"/>
      <c r="G147" s="1"/>
      <c r="H147" s="1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40"/>
      <c r="C148" s="1"/>
      <c r="D148" s="1"/>
      <c r="E148" s="1"/>
      <c r="F148" s="1"/>
      <c r="G148" s="1"/>
      <c r="H148" s="1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40"/>
      <c r="C149" s="1"/>
      <c r="D149" s="1"/>
      <c r="E149" s="1"/>
      <c r="F149" s="1"/>
      <c r="G149" s="1"/>
      <c r="H149" s="1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40"/>
      <c r="C150" s="1"/>
      <c r="D150" s="1"/>
      <c r="E150" s="1"/>
      <c r="F150" s="1"/>
      <c r="G150" s="1"/>
      <c r="H150" s="1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40"/>
      <c r="C151" s="1"/>
      <c r="D151" s="1"/>
      <c r="E151" s="1"/>
      <c r="F151" s="1"/>
      <c r="G151" s="1"/>
      <c r="H151" s="1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40"/>
      <c r="C152" s="1"/>
      <c r="D152" s="1"/>
      <c r="E152" s="1"/>
      <c r="F152" s="1"/>
      <c r="G152" s="1"/>
      <c r="H152" s="1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40"/>
      <c r="C153" s="1"/>
      <c r="D153" s="1"/>
      <c r="E153" s="1"/>
      <c r="F153" s="1"/>
      <c r="G153" s="1"/>
      <c r="H153" s="1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40"/>
      <c r="C154" s="1"/>
      <c r="D154" s="1"/>
      <c r="E154" s="1"/>
      <c r="F154" s="1"/>
      <c r="G154" s="1"/>
      <c r="H154" s="1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40"/>
      <c r="C155" s="1"/>
      <c r="D155" s="1"/>
      <c r="E155" s="1"/>
      <c r="F155" s="1"/>
      <c r="G155" s="1"/>
      <c r="H155" s="1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40"/>
      <c r="C156" s="1"/>
      <c r="D156" s="1"/>
      <c r="E156" s="1"/>
      <c r="F156" s="1"/>
      <c r="G156" s="1"/>
      <c r="H156" s="1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40"/>
      <c r="C157" s="1"/>
      <c r="D157" s="1"/>
      <c r="E157" s="1"/>
      <c r="F157" s="1"/>
      <c r="G157" s="1"/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40"/>
      <c r="C158" s="1"/>
      <c r="D158" s="1"/>
      <c r="E158" s="1"/>
      <c r="F158" s="1"/>
      <c r="G158" s="1"/>
      <c r="H158" s="1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40"/>
      <c r="C159" s="1"/>
      <c r="D159" s="1"/>
      <c r="E159" s="1"/>
      <c r="F159" s="1"/>
      <c r="G159" s="1"/>
      <c r="H159" s="1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40"/>
      <c r="C160" s="1"/>
      <c r="D160" s="1"/>
      <c r="E160" s="1"/>
      <c r="F160" s="1"/>
      <c r="G160" s="1"/>
      <c r="H160" s="1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40"/>
      <c r="C161" s="1"/>
      <c r="D161" s="1"/>
      <c r="E161" s="1"/>
      <c r="F161" s="1"/>
      <c r="G161" s="1"/>
      <c r="H161" s="1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40"/>
      <c r="C162" s="1"/>
      <c r="D162" s="1"/>
      <c r="E162" s="1"/>
      <c r="F162" s="1"/>
      <c r="G162" s="1"/>
      <c r="H162" s="1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40"/>
      <c r="C163" s="1"/>
      <c r="D163" s="1"/>
      <c r="E163" s="1"/>
      <c r="F163" s="1"/>
      <c r="G163" s="1"/>
      <c r="H163" s="1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40"/>
      <c r="C164" s="1"/>
      <c r="D164" s="1"/>
      <c r="E164" s="1"/>
      <c r="F164" s="1"/>
      <c r="G164" s="1"/>
      <c r="H164" s="1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40"/>
      <c r="C165" s="1"/>
      <c r="D165" s="1"/>
      <c r="E165" s="1"/>
      <c r="F165" s="1"/>
      <c r="G165" s="1"/>
      <c r="H165" s="1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40"/>
      <c r="C166" s="1"/>
      <c r="D166" s="1"/>
      <c r="E166" s="1"/>
      <c r="F166" s="1"/>
      <c r="G166" s="1"/>
      <c r="H166" s="1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40"/>
      <c r="C167" s="1"/>
      <c r="D167" s="1"/>
      <c r="E167" s="1"/>
      <c r="F167" s="1"/>
      <c r="G167" s="1"/>
      <c r="H167" s="1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40"/>
      <c r="C168" s="1"/>
      <c r="D168" s="1"/>
      <c r="E168" s="1"/>
      <c r="F168" s="1"/>
      <c r="G168" s="1"/>
      <c r="H168" s="1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40"/>
      <c r="C169" s="1"/>
      <c r="D169" s="1"/>
      <c r="E169" s="1"/>
      <c r="F169" s="1"/>
      <c r="G169" s="1"/>
      <c r="H169" s="1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40"/>
      <c r="C170" s="1"/>
      <c r="D170" s="1"/>
      <c r="E170" s="1"/>
      <c r="F170" s="1"/>
      <c r="G170" s="1"/>
      <c r="H170" s="1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40"/>
      <c r="C171" s="1"/>
      <c r="D171" s="1"/>
      <c r="E171" s="1"/>
      <c r="F171" s="1"/>
      <c r="G171" s="1"/>
      <c r="H171" s="1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40"/>
      <c r="C172" s="1"/>
      <c r="D172" s="1"/>
      <c r="E172" s="1"/>
      <c r="F172" s="1"/>
      <c r="G172" s="1"/>
      <c r="H172" s="1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40"/>
      <c r="C173" s="1"/>
      <c r="D173" s="1"/>
      <c r="E173" s="1"/>
      <c r="F173" s="1"/>
      <c r="G173" s="1"/>
      <c r="H173" s="1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40"/>
      <c r="C174" s="1"/>
      <c r="D174" s="1"/>
      <c r="E174" s="1"/>
      <c r="F174" s="1"/>
      <c r="G174" s="1"/>
      <c r="H174" s="1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40"/>
      <c r="C175" s="1"/>
      <c r="D175" s="1"/>
      <c r="E175" s="1"/>
      <c r="F175" s="1"/>
      <c r="G175" s="1"/>
      <c r="H175" s="1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40"/>
      <c r="C176" s="1"/>
      <c r="D176" s="1"/>
      <c r="E176" s="1"/>
      <c r="F176" s="1"/>
      <c r="G176" s="1"/>
      <c r="H176" s="1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40"/>
      <c r="C177" s="1"/>
      <c r="D177" s="1"/>
      <c r="E177" s="1"/>
      <c r="F177" s="1"/>
      <c r="G177" s="1"/>
      <c r="H177" s="1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40"/>
      <c r="C178" s="1"/>
      <c r="D178" s="1"/>
      <c r="E178" s="1"/>
      <c r="F178" s="1"/>
      <c r="G178" s="1"/>
      <c r="H178" s="1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40"/>
      <c r="C179" s="1"/>
      <c r="D179" s="1"/>
      <c r="E179" s="1"/>
      <c r="F179" s="1"/>
      <c r="G179" s="1"/>
      <c r="H179" s="1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40"/>
      <c r="C180" s="1"/>
      <c r="D180" s="1"/>
      <c r="E180" s="1"/>
      <c r="F180" s="1"/>
      <c r="G180" s="1"/>
      <c r="H180" s="1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40"/>
      <c r="C181" s="1"/>
      <c r="D181" s="1"/>
      <c r="E181" s="1"/>
      <c r="F181" s="1"/>
      <c r="G181" s="1"/>
      <c r="H181" s="1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40"/>
      <c r="C182" s="1"/>
      <c r="D182" s="1"/>
      <c r="E182" s="1"/>
      <c r="F182" s="1"/>
      <c r="G182" s="1"/>
      <c r="H182" s="1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40"/>
      <c r="C183" s="1"/>
      <c r="D183" s="1"/>
      <c r="E183" s="1"/>
      <c r="F183" s="1"/>
      <c r="G183" s="1"/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40"/>
      <c r="C184" s="1"/>
      <c r="D184" s="1"/>
      <c r="E184" s="1"/>
      <c r="F184" s="1"/>
      <c r="G184" s="1"/>
      <c r="H184" s="1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40"/>
      <c r="C185" s="1"/>
      <c r="D185" s="1"/>
      <c r="E185" s="1"/>
      <c r="F185" s="1"/>
      <c r="G185" s="1"/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40"/>
      <c r="C186" s="1"/>
      <c r="D186" s="1"/>
      <c r="E186" s="1"/>
      <c r="F186" s="1"/>
      <c r="G186" s="1"/>
      <c r="H186" s="1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40"/>
      <c r="C187" s="1"/>
      <c r="D187" s="1"/>
      <c r="E187" s="1"/>
      <c r="F187" s="1"/>
      <c r="G187" s="1"/>
      <c r="H187" s="1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40"/>
      <c r="C188" s="1"/>
      <c r="D188" s="1"/>
      <c r="E188" s="1"/>
      <c r="F188" s="1"/>
      <c r="G188" s="1"/>
      <c r="H188" s="1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40"/>
      <c r="C189" s="1"/>
      <c r="D189" s="1"/>
      <c r="E189" s="1"/>
      <c r="F189" s="1"/>
      <c r="G189" s="1"/>
      <c r="H189" s="1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40"/>
      <c r="C190" s="1"/>
      <c r="D190" s="1"/>
      <c r="E190" s="1"/>
      <c r="F190" s="1"/>
      <c r="G190" s="1"/>
      <c r="H190" s="1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40"/>
      <c r="C191" s="1"/>
      <c r="D191" s="1"/>
      <c r="E191" s="1"/>
      <c r="F191" s="1"/>
      <c r="G191" s="1"/>
      <c r="H191" s="1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40"/>
      <c r="C192" s="1"/>
      <c r="D192" s="1"/>
      <c r="E192" s="1"/>
      <c r="F192" s="1"/>
      <c r="G192" s="1"/>
      <c r="H192" s="1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40"/>
      <c r="C193" s="1"/>
      <c r="D193" s="1"/>
      <c r="E193" s="1"/>
      <c r="F193" s="1"/>
      <c r="G193" s="1"/>
      <c r="H193" s="1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40"/>
      <c r="C194" s="1"/>
      <c r="D194" s="1"/>
      <c r="E194" s="1"/>
      <c r="F194" s="1"/>
      <c r="G194" s="1"/>
      <c r="H194" s="1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40"/>
      <c r="C195" s="1"/>
      <c r="D195" s="1"/>
      <c r="E195" s="1"/>
      <c r="F195" s="1"/>
      <c r="G195" s="1"/>
      <c r="H195" s="1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40"/>
      <c r="C196" s="1"/>
      <c r="D196" s="1"/>
      <c r="E196" s="1"/>
      <c r="F196" s="1"/>
      <c r="G196" s="1"/>
      <c r="H196" s="1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40"/>
      <c r="C197" s="1"/>
      <c r="D197" s="1"/>
      <c r="E197" s="1"/>
      <c r="F197" s="1"/>
      <c r="G197" s="1"/>
      <c r="H197" s="1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40"/>
      <c r="C198" s="1"/>
      <c r="D198" s="1"/>
      <c r="E198" s="1"/>
      <c r="F198" s="1"/>
      <c r="G198" s="1"/>
      <c r="H198" s="1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40"/>
      <c r="C199" s="1"/>
      <c r="D199" s="1"/>
      <c r="E199" s="1"/>
      <c r="F199" s="1"/>
      <c r="G199" s="1"/>
      <c r="H199" s="1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40"/>
      <c r="C200" s="1"/>
      <c r="D200" s="1"/>
      <c r="E200" s="1"/>
      <c r="F200" s="1"/>
      <c r="G200" s="1"/>
      <c r="H200" s="1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40"/>
      <c r="C201" s="1"/>
      <c r="D201" s="1"/>
      <c r="E201" s="1"/>
      <c r="F201" s="1"/>
      <c r="G201" s="1"/>
      <c r="H201" s="1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40"/>
      <c r="C202" s="1"/>
      <c r="D202" s="1"/>
      <c r="E202" s="1"/>
      <c r="F202" s="1"/>
      <c r="G202" s="1"/>
      <c r="H202" s="1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40"/>
      <c r="C203" s="1"/>
      <c r="D203" s="1"/>
      <c r="E203" s="1"/>
      <c r="F203" s="1"/>
      <c r="G203" s="1"/>
      <c r="H203" s="1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40"/>
      <c r="C204" s="1"/>
      <c r="D204" s="1"/>
      <c r="E204" s="1"/>
      <c r="F204" s="1"/>
      <c r="G204" s="1"/>
      <c r="H204" s="1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40"/>
      <c r="C205" s="1"/>
      <c r="D205" s="1"/>
      <c r="E205" s="1"/>
      <c r="F205" s="1"/>
      <c r="G205" s="1"/>
      <c r="H205" s="1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40"/>
      <c r="C206" s="1"/>
      <c r="D206" s="1"/>
      <c r="E206" s="1"/>
      <c r="F206" s="1"/>
      <c r="G206" s="1"/>
      <c r="H206" s="1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40"/>
      <c r="C207" s="1"/>
      <c r="D207" s="1"/>
      <c r="E207" s="1"/>
      <c r="F207" s="1"/>
      <c r="G207" s="1"/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40"/>
      <c r="C208" s="1"/>
      <c r="D208" s="1"/>
      <c r="E208" s="1"/>
      <c r="F208" s="1"/>
      <c r="G208" s="1"/>
      <c r="H208" s="1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40"/>
      <c r="C209" s="1"/>
      <c r="D209" s="1"/>
      <c r="E209" s="1"/>
      <c r="F209" s="1"/>
      <c r="G209" s="1"/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40"/>
      <c r="C210" s="1"/>
      <c r="D210" s="1"/>
      <c r="E210" s="1"/>
      <c r="F210" s="1"/>
      <c r="G210" s="1"/>
      <c r="H210" s="1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40"/>
      <c r="C211" s="1"/>
      <c r="D211" s="1"/>
      <c r="E211" s="1"/>
      <c r="F211" s="1"/>
      <c r="G211" s="1"/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40"/>
      <c r="C212" s="1"/>
      <c r="D212" s="1"/>
      <c r="E212" s="1"/>
      <c r="F212" s="1"/>
      <c r="G212" s="1"/>
      <c r="H212" s="1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40"/>
      <c r="C213" s="1"/>
      <c r="D213" s="1"/>
      <c r="E213" s="1"/>
      <c r="F213" s="1"/>
      <c r="G213" s="1"/>
      <c r="H213" s="1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40"/>
      <c r="C214" s="1"/>
      <c r="D214" s="1"/>
      <c r="E214" s="1"/>
      <c r="F214" s="1"/>
      <c r="G214" s="1"/>
      <c r="H214" s="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40"/>
      <c r="C215" s="1"/>
      <c r="D215" s="1"/>
      <c r="E215" s="1"/>
      <c r="F215" s="1"/>
      <c r="G215" s="1"/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40"/>
      <c r="C216" s="1"/>
      <c r="D216" s="1"/>
      <c r="E216" s="1"/>
      <c r="F216" s="1"/>
      <c r="G216" s="1"/>
      <c r="H216" s="1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40"/>
      <c r="C217" s="1"/>
      <c r="D217" s="1"/>
      <c r="E217" s="1"/>
      <c r="F217" s="1"/>
      <c r="G217" s="1"/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40"/>
      <c r="C218" s="1"/>
      <c r="D218" s="1"/>
      <c r="E218" s="1"/>
      <c r="F218" s="1"/>
      <c r="G218" s="1"/>
      <c r="H218" s="1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40"/>
      <c r="C219" s="1"/>
      <c r="D219" s="1"/>
      <c r="E219" s="1"/>
      <c r="F219" s="1"/>
      <c r="G219" s="1"/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40"/>
      <c r="C220" s="1"/>
      <c r="D220" s="1"/>
      <c r="E220" s="1"/>
      <c r="F220" s="1"/>
      <c r="G220" s="1"/>
      <c r="H220" s="1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H3:H18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abSelected="1" topLeftCell="A10" workbookViewId="0">
      <selection activeCell="A3" sqref="A3:G17"/>
    </sheetView>
  </sheetViews>
  <sheetFormatPr defaultColWidth="14.42578125" defaultRowHeight="15" customHeight="1"/>
  <cols>
    <col min="1" max="1" width="6.42578125" customWidth="1"/>
    <col min="2" max="2" width="23.42578125" customWidth="1"/>
    <col min="3" max="3" width="20.140625" customWidth="1"/>
    <col min="4" max="4" width="12" customWidth="1"/>
    <col min="5" max="5" width="11.28515625" customWidth="1"/>
    <col min="6" max="6" width="17.7109375" customWidth="1"/>
    <col min="7" max="7" width="14.85546875" customWidth="1"/>
    <col min="8" max="8" width="30.28515625" customWidth="1"/>
    <col min="9" max="9" width="8.7109375" customWidth="1"/>
    <col min="10" max="10" width="10.140625" customWidth="1"/>
    <col min="11" max="23" width="8.7109375" customWidth="1"/>
  </cols>
  <sheetData>
    <row r="1" spans="1:26" ht="23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9"/>
      <c r="K1" s="15"/>
      <c r="L1" s="1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4" t="s">
        <v>1</v>
      </c>
      <c r="B2" s="45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1" t="s">
        <v>10</v>
      </c>
      <c r="I2" s="26" t="s">
        <v>5</v>
      </c>
      <c r="J2" s="33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/>
      <c r="Y2" s="2"/>
      <c r="Z2" s="2"/>
    </row>
    <row r="3" spans="1:26" ht="15.75" customHeight="1">
      <c r="A3" s="8">
        <v>1</v>
      </c>
      <c r="B3" s="42" t="s">
        <v>201</v>
      </c>
      <c r="C3" s="13" t="s">
        <v>202</v>
      </c>
      <c r="D3" s="8"/>
      <c r="E3" s="8"/>
      <c r="F3" s="8" t="s">
        <v>203</v>
      </c>
      <c r="G3" s="8" t="s">
        <v>204</v>
      </c>
      <c r="H3" s="50" t="s">
        <v>45</v>
      </c>
      <c r="I3" s="36" t="s">
        <v>19</v>
      </c>
      <c r="J3" s="30">
        <f>5/18</f>
        <v>0.27777777777777779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8">
        <v>2</v>
      </c>
      <c r="B4" s="42" t="s">
        <v>205</v>
      </c>
      <c r="C4" s="13" t="s">
        <v>202</v>
      </c>
      <c r="D4" s="8"/>
      <c r="E4" s="8"/>
      <c r="F4" s="8" t="s">
        <v>203</v>
      </c>
      <c r="G4" s="8" t="s">
        <v>204</v>
      </c>
      <c r="H4" s="51"/>
      <c r="I4" s="36" t="s">
        <v>15</v>
      </c>
      <c r="J4" s="30">
        <f>8/18</f>
        <v>0.44444444444444442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8">
        <v>3</v>
      </c>
      <c r="B5" s="42" t="s">
        <v>206</v>
      </c>
      <c r="C5" s="13" t="s">
        <v>202</v>
      </c>
      <c r="D5" s="8"/>
      <c r="E5" s="8"/>
      <c r="F5" s="8" t="s">
        <v>203</v>
      </c>
      <c r="G5" s="8" t="s">
        <v>204</v>
      </c>
      <c r="H5" s="51"/>
      <c r="I5" s="36" t="s">
        <v>23</v>
      </c>
      <c r="J5" s="30">
        <f>5/18</f>
        <v>0.27777777777777779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">
        <v>4</v>
      </c>
      <c r="B6" s="42" t="s">
        <v>207</v>
      </c>
      <c r="C6" s="13" t="s">
        <v>202</v>
      </c>
      <c r="D6" s="8"/>
      <c r="E6" s="8"/>
      <c r="F6" s="8" t="s">
        <v>203</v>
      </c>
      <c r="G6" s="8" t="s">
        <v>204</v>
      </c>
      <c r="H6" s="5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8">
        <v>5</v>
      </c>
      <c r="B7" s="42" t="s">
        <v>208</v>
      </c>
      <c r="C7" s="13" t="s">
        <v>202</v>
      </c>
      <c r="D7" s="8"/>
      <c r="E7" s="8"/>
      <c r="F7" s="8" t="s">
        <v>203</v>
      </c>
      <c r="G7" s="8" t="s">
        <v>204</v>
      </c>
      <c r="H7" s="5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>
        <v>6</v>
      </c>
      <c r="B8" s="42" t="s">
        <v>209</v>
      </c>
      <c r="C8" s="13" t="s">
        <v>202</v>
      </c>
      <c r="D8" s="8"/>
      <c r="E8" s="8"/>
      <c r="F8" s="8" t="s">
        <v>203</v>
      </c>
      <c r="G8" s="8" t="s">
        <v>204</v>
      </c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>
        <v>7</v>
      </c>
      <c r="B9" s="42" t="s">
        <v>210</v>
      </c>
      <c r="C9" s="13" t="s">
        <v>202</v>
      </c>
      <c r="D9" s="8"/>
      <c r="E9" s="8"/>
      <c r="F9" s="8" t="s">
        <v>203</v>
      </c>
      <c r="G9" s="8" t="s">
        <v>204</v>
      </c>
      <c r="H9" s="5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">
        <v>8</v>
      </c>
      <c r="B10" s="42" t="s">
        <v>211</v>
      </c>
      <c r="C10" s="13" t="s">
        <v>202</v>
      </c>
      <c r="D10" s="8"/>
      <c r="E10" s="8"/>
      <c r="F10" s="8" t="s">
        <v>203</v>
      </c>
      <c r="G10" s="8" t="s">
        <v>204</v>
      </c>
      <c r="H10" s="5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8">
        <v>9</v>
      </c>
      <c r="B11" s="42" t="s">
        <v>212</v>
      </c>
      <c r="C11" s="13" t="s">
        <v>202</v>
      </c>
      <c r="D11" s="8"/>
      <c r="E11" s="8"/>
      <c r="F11" s="8" t="s">
        <v>203</v>
      </c>
      <c r="G11" s="8" t="s">
        <v>204</v>
      </c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8">
        <v>10</v>
      </c>
      <c r="B12" s="42" t="s">
        <v>213</v>
      </c>
      <c r="C12" s="13" t="s">
        <v>202</v>
      </c>
      <c r="D12" s="8"/>
      <c r="E12" s="8"/>
      <c r="F12" s="8" t="s">
        <v>203</v>
      </c>
      <c r="G12" s="8" t="s">
        <v>204</v>
      </c>
      <c r="H12" s="5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8">
        <v>11</v>
      </c>
      <c r="B13" s="42" t="s">
        <v>214</v>
      </c>
      <c r="C13" s="13" t="s">
        <v>202</v>
      </c>
      <c r="D13" s="8"/>
      <c r="E13" s="8"/>
      <c r="F13" s="8" t="s">
        <v>203</v>
      </c>
      <c r="G13" s="8" t="s">
        <v>204</v>
      </c>
      <c r="H13" s="5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8">
        <v>12</v>
      </c>
      <c r="B14" s="42" t="s">
        <v>215</v>
      </c>
      <c r="C14" s="13" t="s">
        <v>202</v>
      </c>
      <c r="D14" s="8"/>
      <c r="E14" s="8"/>
      <c r="F14" s="8" t="s">
        <v>203</v>
      </c>
      <c r="G14" s="8" t="s">
        <v>204</v>
      </c>
      <c r="H14" s="5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8">
        <v>13</v>
      </c>
      <c r="B15" s="42" t="s">
        <v>216</v>
      </c>
      <c r="C15" s="13" t="s">
        <v>202</v>
      </c>
      <c r="D15" s="8"/>
      <c r="E15" s="8"/>
      <c r="F15" s="8" t="s">
        <v>203</v>
      </c>
      <c r="G15" s="8" t="s">
        <v>204</v>
      </c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8">
        <v>14</v>
      </c>
      <c r="B16" s="42" t="s">
        <v>217</v>
      </c>
      <c r="C16" s="13" t="s">
        <v>202</v>
      </c>
      <c r="D16" s="8"/>
      <c r="E16" s="8"/>
      <c r="F16" s="8" t="s">
        <v>203</v>
      </c>
      <c r="G16" s="8" t="s">
        <v>204</v>
      </c>
      <c r="H16" s="5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8">
        <v>15</v>
      </c>
      <c r="B17" s="42" t="s">
        <v>218</v>
      </c>
      <c r="C17" s="13" t="s">
        <v>219</v>
      </c>
      <c r="D17" s="8"/>
      <c r="E17" s="8"/>
      <c r="F17" s="8" t="s">
        <v>203</v>
      </c>
      <c r="G17" s="8" t="s">
        <v>204</v>
      </c>
      <c r="H17" s="5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/>
      <c r="B18" s="40"/>
      <c r="C18" s="1"/>
      <c r="D18" s="1"/>
      <c r="E18" s="1"/>
      <c r="F18" s="1"/>
      <c r="G18" s="1"/>
      <c r="H18" s="1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/>
      <c r="B19" s="40"/>
      <c r="C19" s="1"/>
      <c r="D19" s="1"/>
      <c r="E19" s="1"/>
      <c r="F19" s="1"/>
      <c r="G19" s="1"/>
      <c r="H19" s="1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/>
      <c r="B20" s="40"/>
      <c r="C20" s="1"/>
      <c r="D20" s="1"/>
      <c r="E20" s="1"/>
      <c r="F20" s="1"/>
      <c r="G20" s="1"/>
      <c r="H20" s="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40"/>
      <c r="C21" s="1"/>
      <c r="D21" s="1"/>
      <c r="E21" s="1"/>
      <c r="F21" s="1"/>
      <c r="G21" s="1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/>
      <c r="B22" s="40"/>
      <c r="C22" s="1"/>
      <c r="D22" s="1"/>
      <c r="E22" s="1"/>
      <c r="F22" s="1"/>
      <c r="G22" s="1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/>
      <c r="B23" s="40"/>
      <c r="C23" s="1"/>
      <c r="D23" s="1"/>
      <c r="E23" s="1"/>
      <c r="F23" s="1"/>
      <c r="G23" s="1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/>
      <c r="B24" s="40"/>
      <c r="C24" s="1"/>
      <c r="D24" s="1"/>
      <c r="E24" s="1"/>
      <c r="F24" s="1"/>
      <c r="G24" s="1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/>
      <c r="B25" s="40"/>
      <c r="C25" s="1"/>
      <c r="D25" s="1"/>
      <c r="E25" s="1"/>
      <c r="F25" s="1"/>
      <c r="G25" s="1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/>
      <c r="B26" s="40"/>
      <c r="C26" s="1"/>
      <c r="D26" s="1"/>
      <c r="E26" s="1"/>
      <c r="F26" s="1"/>
      <c r="G26" s="1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40"/>
      <c r="C27" s="1"/>
      <c r="D27" s="1"/>
      <c r="E27" s="1"/>
      <c r="F27" s="1"/>
      <c r="G27" s="1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40"/>
      <c r="C28" s="1"/>
      <c r="D28" s="1"/>
      <c r="E28" s="1"/>
      <c r="F28" s="1"/>
      <c r="G28" s="1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40"/>
      <c r="C29" s="1"/>
      <c r="D29" s="1"/>
      <c r="E29" s="1"/>
      <c r="F29" s="1"/>
      <c r="G29" s="1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40"/>
      <c r="C30" s="1"/>
      <c r="D30" s="1"/>
      <c r="E30" s="1"/>
      <c r="F30" s="1"/>
      <c r="G30" s="1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40"/>
      <c r="C31" s="1"/>
      <c r="D31" s="1"/>
      <c r="E31" s="1"/>
      <c r="F31" s="1"/>
      <c r="G31" s="1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/>
      <c r="B32" s="40"/>
      <c r="C32" s="1"/>
      <c r="D32" s="1"/>
      <c r="E32" s="1"/>
      <c r="F32" s="1"/>
      <c r="G32" s="1"/>
      <c r="H32" s="1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/>
      <c r="B33" s="40"/>
      <c r="C33" s="1"/>
      <c r="D33" s="1"/>
      <c r="E33" s="1"/>
      <c r="F33" s="1"/>
      <c r="G33" s="1"/>
      <c r="H33" s="1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/>
      <c r="B34" s="40"/>
      <c r="C34" s="1"/>
      <c r="D34" s="1"/>
      <c r="E34" s="1"/>
      <c r="F34" s="1"/>
      <c r="G34" s="1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/>
      <c r="B35" s="40"/>
      <c r="C35" s="1"/>
      <c r="D35" s="1"/>
      <c r="E35" s="1"/>
      <c r="F35" s="1"/>
      <c r="G35" s="1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/>
      <c r="B36" s="40"/>
      <c r="C36" s="1"/>
      <c r="D36" s="1"/>
      <c r="E36" s="1"/>
      <c r="F36" s="1"/>
      <c r="G36" s="1"/>
      <c r="H36" s="1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/>
      <c r="B37" s="40"/>
      <c r="C37" s="1"/>
      <c r="D37" s="1"/>
      <c r="E37" s="1"/>
      <c r="F37" s="1"/>
      <c r="G37" s="1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40"/>
      <c r="C38" s="1"/>
      <c r="D38" s="1"/>
      <c r="E38" s="1"/>
      <c r="F38" s="1"/>
      <c r="G38" s="1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/>
      <c r="B39" s="40"/>
      <c r="C39" s="1"/>
      <c r="D39" s="1"/>
      <c r="E39" s="1"/>
      <c r="F39" s="1"/>
      <c r="G39" s="1"/>
      <c r="H39" s="1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40"/>
      <c r="C40" s="1"/>
      <c r="D40" s="1"/>
      <c r="E40" s="1"/>
      <c r="F40" s="1"/>
      <c r="G40" s="1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40"/>
      <c r="C41" s="1"/>
      <c r="D41" s="1"/>
      <c r="E41" s="1"/>
      <c r="F41" s="1"/>
      <c r="G41" s="1"/>
      <c r="H41" s="1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40"/>
      <c r="C42" s="1"/>
      <c r="D42" s="1"/>
      <c r="E42" s="1"/>
      <c r="F42" s="1"/>
      <c r="G42" s="1"/>
      <c r="H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40"/>
      <c r="C43" s="1"/>
      <c r="D43" s="1"/>
      <c r="E43" s="1"/>
      <c r="F43" s="1"/>
      <c r="G43" s="1"/>
      <c r="H43" s="1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40"/>
      <c r="C44" s="1"/>
      <c r="D44" s="1"/>
      <c r="E44" s="1"/>
      <c r="F44" s="1"/>
      <c r="G44" s="1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40"/>
      <c r="C45" s="1"/>
      <c r="D45" s="1"/>
      <c r="E45" s="1"/>
      <c r="F45" s="1"/>
      <c r="G45" s="1"/>
      <c r="H45" s="1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40"/>
      <c r="C46" s="1"/>
      <c r="D46" s="1"/>
      <c r="E46" s="1"/>
      <c r="F46" s="1"/>
      <c r="G46" s="1"/>
      <c r="H46" s="1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40"/>
      <c r="C47" s="1"/>
      <c r="D47" s="1"/>
      <c r="E47" s="1"/>
      <c r="F47" s="1"/>
      <c r="G47" s="1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40"/>
      <c r="C48" s="1"/>
      <c r="D48" s="1"/>
      <c r="E48" s="1"/>
      <c r="F48" s="1"/>
      <c r="G48" s="1"/>
      <c r="H48" s="1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40"/>
      <c r="C49" s="1"/>
      <c r="D49" s="1"/>
      <c r="E49" s="1"/>
      <c r="F49" s="1"/>
      <c r="G49" s="1"/>
      <c r="H49" s="1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40"/>
      <c r="C50" s="1"/>
      <c r="D50" s="1"/>
      <c r="E50" s="1"/>
      <c r="F50" s="1"/>
      <c r="G50" s="1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40"/>
      <c r="C51" s="1"/>
      <c r="D51" s="1"/>
      <c r="E51" s="1"/>
      <c r="F51" s="1"/>
      <c r="G51" s="1"/>
      <c r="H51" s="1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40"/>
      <c r="C52" s="1"/>
      <c r="D52" s="1"/>
      <c r="E52" s="1"/>
      <c r="F52" s="1"/>
      <c r="G52" s="1"/>
      <c r="H52" s="1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40"/>
      <c r="C53" s="1"/>
      <c r="D53" s="1"/>
      <c r="E53" s="1"/>
      <c r="F53" s="1"/>
      <c r="G53" s="1"/>
      <c r="H53" s="1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40"/>
      <c r="C54" s="1"/>
      <c r="D54" s="1"/>
      <c r="E54" s="1"/>
      <c r="F54" s="1"/>
      <c r="G54" s="1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40"/>
      <c r="C55" s="1"/>
      <c r="D55" s="1"/>
      <c r="E55" s="1"/>
      <c r="F55" s="1"/>
      <c r="G55" s="1"/>
      <c r="H55" s="1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40"/>
      <c r="C56" s="1"/>
      <c r="D56" s="1"/>
      <c r="E56" s="1"/>
      <c r="F56" s="1"/>
      <c r="G56" s="1"/>
      <c r="H56" s="1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40"/>
      <c r="C57" s="1"/>
      <c r="D57" s="1"/>
      <c r="E57" s="1"/>
      <c r="F57" s="1"/>
      <c r="G57" s="1"/>
      <c r="H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40"/>
      <c r="C58" s="1"/>
      <c r="D58" s="1"/>
      <c r="E58" s="1"/>
      <c r="F58" s="1"/>
      <c r="G58" s="1"/>
      <c r="H58" s="1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40"/>
      <c r="C59" s="1"/>
      <c r="D59" s="1"/>
      <c r="E59" s="1"/>
      <c r="F59" s="1"/>
      <c r="G59" s="1"/>
      <c r="H59" s="1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40"/>
      <c r="C60" s="1"/>
      <c r="D60" s="1"/>
      <c r="E60" s="1"/>
      <c r="F60" s="1"/>
      <c r="G60" s="1"/>
      <c r="H60" s="1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40"/>
      <c r="C61" s="1"/>
      <c r="D61" s="1"/>
      <c r="E61" s="1"/>
      <c r="F61" s="1"/>
      <c r="G61" s="1"/>
      <c r="H61" s="1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40"/>
      <c r="C62" s="1"/>
      <c r="D62" s="1"/>
      <c r="E62" s="1"/>
      <c r="F62" s="1"/>
      <c r="G62" s="1"/>
      <c r="H62" s="1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40"/>
      <c r="C63" s="1"/>
      <c r="D63" s="1"/>
      <c r="E63" s="1"/>
      <c r="F63" s="1"/>
      <c r="G63" s="1"/>
      <c r="H63" s="1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40"/>
      <c r="C64" s="1"/>
      <c r="D64" s="1"/>
      <c r="E64" s="1"/>
      <c r="F64" s="1"/>
      <c r="G64" s="1"/>
      <c r="H64" s="1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40"/>
      <c r="C65" s="1"/>
      <c r="D65" s="1"/>
      <c r="E65" s="1"/>
      <c r="F65" s="1"/>
      <c r="G65" s="1"/>
      <c r="H65" s="1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40"/>
      <c r="C66" s="1"/>
      <c r="D66" s="1"/>
      <c r="E66" s="1"/>
      <c r="F66" s="1"/>
      <c r="G66" s="1"/>
      <c r="H66" s="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40"/>
      <c r="C67" s="1"/>
      <c r="D67" s="1"/>
      <c r="E67" s="1"/>
      <c r="F67" s="1"/>
      <c r="G67" s="1"/>
      <c r="H67" s="1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40"/>
      <c r="C68" s="1"/>
      <c r="D68" s="1"/>
      <c r="E68" s="1"/>
      <c r="F68" s="1"/>
      <c r="G68" s="1"/>
      <c r="H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40"/>
      <c r="C69" s="1"/>
      <c r="D69" s="1"/>
      <c r="E69" s="1"/>
      <c r="F69" s="1"/>
      <c r="G69" s="1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40"/>
      <c r="C70" s="1"/>
      <c r="D70" s="1"/>
      <c r="E70" s="1"/>
      <c r="F70" s="1"/>
      <c r="G70" s="1"/>
      <c r="H70" s="1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40"/>
      <c r="C71" s="1"/>
      <c r="D71" s="1"/>
      <c r="E71" s="1"/>
      <c r="F71" s="1"/>
      <c r="G71" s="1"/>
      <c r="H71" s="1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40"/>
      <c r="C72" s="1"/>
      <c r="D72" s="1"/>
      <c r="E72" s="1"/>
      <c r="F72" s="1"/>
      <c r="G72" s="1"/>
      <c r="H72" s="1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40"/>
      <c r="C73" s="1"/>
      <c r="D73" s="1"/>
      <c r="E73" s="1"/>
      <c r="F73" s="1"/>
      <c r="G73" s="1"/>
      <c r="H73" s="1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40"/>
      <c r="C74" s="1"/>
      <c r="D74" s="1"/>
      <c r="E74" s="1"/>
      <c r="F74" s="1"/>
      <c r="G74" s="1"/>
      <c r="H74" s="1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40"/>
      <c r="C75" s="1"/>
      <c r="D75" s="1"/>
      <c r="E75" s="1"/>
      <c r="F75" s="1"/>
      <c r="G75" s="1"/>
      <c r="H75" s="1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40"/>
      <c r="C76" s="1"/>
      <c r="D76" s="1"/>
      <c r="E76" s="1"/>
      <c r="F76" s="1"/>
      <c r="G76" s="1"/>
      <c r="H76" s="1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40"/>
      <c r="C77" s="1"/>
      <c r="D77" s="1"/>
      <c r="E77" s="1"/>
      <c r="F77" s="1"/>
      <c r="G77" s="1"/>
      <c r="H77" s="1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40"/>
      <c r="C78" s="1"/>
      <c r="D78" s="1"/>
      <c r="E78" s="1"/>
      <c r="F78" s="1"/>
      <c r="G78" s="1"/>
      <c r="H78" s="1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40"/>
      <c r="C79" s="1"/>
      <c r="D79" s="1"/>
      <c r="E79" s="1"/>
      <c r="F79" s="1"/>
      <c r="G79" s="1"/>
      <c r="H79" s="1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40"/>
      <c r="C80" s="1"/>
      <c r="D80" s="1"/>
      <c r="E80" s="1"/>
      <c r="F80" s="1"/>
      <c r="G80" s="1"/>
      <c r="H80" s="1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40"/>
      <c r="C81" s="1"/>
      <c r="D81" s="1"/>
      <c r="E81" s="1"/>
      <c r="F81" s="1"/>
      <c r="G81" s="1"/>
      <c r="H81" s="1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40"/>
      <c r="C82" s="1"/>
      <c r="D82" s="1"/>
      <c r="E82" s="1"/>
      <c r="F82" s="1"/>
      <c r="G82" s="1"/>
      <c r="H82" s="1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40"/>
      <c r="C83" s="1"/>
      <c r="D83" s="1"/>
      <c r="E83" s="1"/>
      <c r="F83" s="1"/>
      <c r="G83" s="1"/>
      <c r="H83" s="1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40"/>
      <c r="C84" s="1"/>
      <c r="D84" s="1"/>
      <c r="E84" s="1"/>
      <c r="F84" s="1"/>
      <c r="G84" s="1"/>
      <c r="H84" s="1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40"/>
      <c r="C85" s="1"/>
      <c r="D85" s="1"/>
      <c r="E85" s="1"/>
      <c r="F85" s="1"/>
      <c r="G85" s="1"/>
      <c r="H85" s="1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40"/>
      <c r="C86" s="1"/>
      <c r="D86" s="1"/>
      <c r="E86" s="1"/>
      <c r="F86" s="1"/>
      <c r="G86" s="1"/>
      <c r="H86" s="1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40"/>
      <c r="C87" s="1"/>
      <c r="D87" s="1"/>
      <c r="E87" s="1"/>
      <c r="F87" s="1"/>
      <c r="G87" s="1"/>
      <c r="H87" s="1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40"/>
      <c r="C88" s="1"/>
      <c r="D88" s="1"/>
      <c r="E88" s="1"/>
      <c r="F88" s="1"/>
      <c r="G88" s="1"/>
      <c r="H88" s="1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40"/>
      <c r="C89" s="1"/>
      <c r="D89" s="1"/>
      <c r="E89" s="1"/>
      <c r="F89" s="1"/>
      <c r="G89" s="1"/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40"/>
      <c r="C90" s="1"/>
      <c r="D90" s="1"/>
      <c r="E90" s="1"/>
      <c r="F90" s="1"/>
      <c r="G90" s="1"/>
      <c r="H90" s="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40"/>
      <c r="C91" s="1"/>
      <c r="D91" s="1"/>
      <c r="E91" s="1"/>
      <c r="F91" s="1"/>
      <c r="G91" s="1"/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40"/>
      <c r="C92" s="1"/>
      <c r="D92" s="1"/>
      <c r="E92" s="1"/>
      <c r="F92" s="1"/>
      <c r="G92" s="1"/>
      <c r="H92" s="1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40"/>
      <c r="C93" s="1"/>
      <c r="D93" s="1"/>
      <c r="E93" s="1"/>
      <c r="F93" s="1"/>
      <c r="G93" s="1"/>
      <c r="H93" s="1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40"/>
      <c r="C94" s="1"/>
      <c r="D94" s="1"/>
      <c r="E94" s="1"/>
      <c r="F94" s="1"/>
      <c r="G94" s="1"/>
      <c r="H94" s="1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40"/>
      <c r="C95" s="1"/>
      <c r="D95" s="1"/>
      <c r="E95" s="1"/>
      <c r="F95" s="1"/>
      <c r="G95" s="1"/>
      <c r="H95" s="1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40"/>
      <c r="C96" s="1"/>
      <c r="D96" s="1"/>
      <c r="E96" s="1"/>
      <c r="F96" s="1"/>
      <c r="G96" s="1"/>
      <c r="H96" s="1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40"/>
      <c r="C97" s="1"/>
      <c r="D97" s="1"/>
      <c r="E97" s="1"/>
      <c r="F97" s="1"/>
      <c r="G97" s="1"/>
      <c r="H97" s="1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40"/>
      <c r="C98" s="1"/>
      <c r="D98" s="1"/>
      <c r="E98" s="1"/>
      <c r="F98" s="1"/>
      <c r="G98" s="1"/>
      <c r="H98" s="1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40"/>
      <c r="C99" s="1"/>
      <c r="D99" s="1"/>
      <c r="E99" s="1"/>
      <c r="F99" s="1"/>
      <c r="G99" s="1"/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40"/>
      <c r="C100" s="1"/>
      <c r="D100" s="1"/>
      <c r="E100" s="1"/>
      <c r="F100" s="1"/>
      <c r="G100" s="1"/>
      <c r="H100" s="1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40"/>
      <c r="C101" s="1"/>
      <c r="D101" s="1"/>
      <c r="E101" s="1"/>
      <c r="F101" s="1"/>
      <c r="G101" s="1"/>
      <c r="H101" s="1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40"/>
      <c r="C102" s="1"/>
      <c r="D102" s="1"/>
      <c r="E102" s="1"/>
      <c r="F102" s="1"/>
      <c r="G102" s="1"/>
      <c r="H102" s="1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40"/>
      <c r="C103" s="1"/>
      <c r="D103" s="1"/>
      <c r="E103" s="1"/>
      <c r="F103" s="1"/>
      <c r="G103" s="1"/>
      <c r="H103" s="1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40"/>
      <c r="C104" s="1"/>
      <c r="D104" s="1"/>
      <c r="E104" s="1"/>
      <c r="F104" s="1"/>
      <c r="G104" s="1"/>
      <c r="H104" s="1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40"/>
      <c r="C105" s="1"/>
      <c r="D105" s="1"/>
      <c r="E105" s="1"/>
      <c r="F105" s="1"/>
      <c r="G105" s="1"/>
      <c r="H105" s="1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40"/>
      <c r="C106" s="1"/>
      <c r="D106" s="1"/>
      <c r="E106" s="1"/>
      <c r="F106" s="1"/>
      <c r="G106" s="1"/>
      <c r="H106" s="1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40"/>
      <c r="C107" s="1"/>
      <c r="D107" s="1"/>
      <c r="E107" s="1"/>
      <c r="F107" s="1"/>
      <c r="G107" s="1"/>
      <c r="H107" s="1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40"/>
      <c r="C108" s="1"/>
      <c r="D108" s="1"/>
      <c r="E108" s="1"/>
      <c r="F108" s="1"/>
      <c r="G108" s="1"/>
      <c r="H108" s="1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40"/>
      <c r="C109" s="1"/>
      <c r="D109" s="1"/>
      <c r="E109" s="1"/>
      <c r="F109" s="1"/>
      <c r="G109" s="1"/>
      <c r="H109" s="1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40"/>
      <c r="C110" s="1"/>
      <c r="D110" s="1"/>
      <c r="E110" s="1"/>
      <c r="F110" s="1"/>
      <c r="G110" s="1"/>
      <c r="H110" s="1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40"/>
      <c r="C111" s="1"/>
      <c r="D111" s="1"/>
      <c r="E111" s="1"/>
      <c r="F111" s="1"/>
      <c r="G111" s="1"/>
      <c r="H111" s="1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40"/>
      <c r="C112" s="1"/>
      <c r="D112" s="1"/>
      <c r="E112" s="1"/>
      <c r="F112" s="1"/>
      <c r="G112" s="1"/>
      <c r="H112" s="1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40"/>
      <c r="C113" s="1"/>
      <c r="D113" s="1"/>
      <c r="E113" s="1"/>
      <c r="F113" s="1"/>
      <c r="G113" s="1"/>
      <c r="H113" s="1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40"/>
      <c r="C114" s="1"/>
      <c r="D114" s="1"/>
      <c r="E114" s="1"/>
      <c r="F114" s="1"/>
      <c r="G114" s="1"/>
      <c r="H114" s="1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40"/>
      <c r="C115" s="1"/>
      <c r="D115" s="1"/>
      <c r="E115" s="1"/>
      <c r="F115" s="1"/>
      <c r="G115" s="1"/>
      <c r="H115" s="1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40"/>
      <c r="C116" s="1"/>
      <c r="D116" s="1"/>
      <c r="E116" s="1"/>
      <c r="F116" s="1"/>
      <c r="G116" s="1"/>
      <c r="H116" s="1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40"/>
      <c r="C117" s="1"/>
      <c r="D117" s="1"/>
      <c r="E117" s="1"/>
      <c r="F117" s="1"/>
      <c r="G117" s="1"/>
      <c r="H117" s="1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40"/>
      <c r="C118" s="1"/>
      <c r="D118" s="1"/>
      <c r="E118" s="1"/>
      <c r="F118" s="1"/>
      <c r="G118" s="1"/>
      <c r="H118" s="1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40"/>
      <c r="C119" s="1"/>
      <c r="D119" s="1"/>
      <c r="E119" s="1"/>
      <c r="F119" s="1"/>
      <c r="G119" s="1"/>
      <c r="H119" s="1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40"/>
      <c r="C120" s="1"/>
      <c r="D120" s="1"/>
      <c r="E120" s="1"/>
      <c r="F120" s="1"/>
      <c r="G120" s="1"/>
      <c r="H120" s="1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40"/>
      <c r="C121" s="1"/>
      <c r="D121" s="1"/>
      <c r="E121" s="1"/>
      <c r="F121" s="1"/>
      <c r="G121" s="1"/>
      <c r="H121" s="1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40"/>
      <c r="C122" s="1"/>
      <c r="D122" s="1"/>
      <c r="E122" s="1"/>
      <c r="F122" s="1"/>
      <c r="G122" s="1"/>
      <c r="H122" s="1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40"/>
      <c r="C123" s="1"/>
      <c r="D123" s="1"/>
      <c r="E123" s="1"/>
      <c r="F123" s="1"/>
      <c r="G123" s="1"/>
      <c r="H123" s="1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40"/>
      <c r="C124" s="1"/>
      <c r="D124" s="1"/>
      <c r="E124" s="1"/>
      <c r="F124" s="1"/>
      <c r="G124" s="1"/>
      <c r="H124" s="1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40"/>
      <c r="C125" s="1"/>
      <c r="D125" s="1"/>
      <c r="E125" s="1"/>
      <c r="F125" s="1"/>
      <c r="G125" s="1"/>
      <c r="H125" s="1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40"/>
      <c r="C126" s="1"/>
      <c r="D126" s="1"/>
      <c r="E126" s="1"/>
      <c r="F126" s="1"/>
      <c r="G126" s="1"/>
      <c r="H126" s="1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40"/>
      <c r="C127" s="1"/>
      <c r="D127" s="1"/>
      <c r="E127" s="1"/>
      <c r="F127" s="1"/>
      <c r="G127" s="1"/>
      <c r="H127" s="1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40"/>
      <c r="C128" s="1"/>
      <c r="D128" s="1"/>
      <c r="E128" s="1"/>
      <c r="F128" s="1"/>
      <c r="G128" s="1"/>
      <c r="H128" s="1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40"/>
      <c r="C129" s="1"/>
      <c r="D129" s="1"/>
      <c r="E129" s="1"/>
      <c r="F129" s="1"/>
      <c r="G129" s="1"/>
      <c r="H129" s="1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40"/>
      <c r="C130" s="1"/>
      <c r="D130" s="1"/>
      <c r="E130" s="1"/>
      <c r="F130" s="1"/>
      <c r="G130" s="1"/>
      <c r="H130" s="1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40"/>
      <c r="C131" s="1"/>
      <c r="D131" s="1"/>
      <c r="E131" s="1"/>
      <c r="F131" s="1"/>
      <c r="G131" s="1"/>
      <c r="H131" s="1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40"/>
      <c r="C132" s="1"/>
      <c r="D132" s="1"/>
      <c r="E132" s="1"/>
      <c r="F132" s="1"/>
      <c r="G132" s="1"/>
      <c r="H132" s="1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40"/>
      <c r="C133" s="1"/>
      <c r="D133" s="1"/>
      <c r="E133" s="1"/>
      <c r="F133" s="1"/>
      <c r="G133" s="1"/>
      <c r="H133" s="1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40"/>
      <c r="C134" s="1"/>
      <c r="D134" s="1"/>
      <c r="E134" s="1"/>
      <c r="F134" s="1"/>
      <c r="G134" s="1"/>
      <c r="H134" s="1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40"/>
      <c r="C135" s="1"/>
      <c r="D135" s="1"/>
      <c r="E135" s="1"/>
      <c r="F135" s="1"/>
      <c r="G135" s="1"/>
      <c r="H135" s="1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40"/>
      <c r="C136" s="1"/>
      <c r="D136" s="1"/>
      <c r="E136" s="1"/>
      <c r="F136" s="1"/>
      <c r="G136" s="1"/>
      <c r="H136" s="1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40"/>
      <c r="C137" s="1"/>
      <c r="D137" s="1"/>
      <c r="E137" s="1"/>
      <c r="F137" s="1"/>
      <c r="G137" s="1"/>
      <c r="H137" s="1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40"/>
      <c r="C138" s="1"/>
      <c r="D138" s="1"/>
      <c r="E138" s="1"/>
      <c r="F138" s="1"/>
      <c r="G138" s="1"/>
      <c r="H138" s="1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40"/>
      <c r="C139" s="1"/>
      <c r="D139" s="1"/>
      <c r="E139" s="1"/>
      <c r="F139" s="1"/>
      <c r="G139" s="1"/>
      <c r="H139" s="1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40"/>
      <c r="C140" s="1"/>
      <c r="D140" s="1"/>
      <c r="E140" s="1"/>
      <c r="F140" s="1"/>
      <c r="G140" s="1"/>
      <c r="H140" s="1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40"/>
      <c r="C141" s="1"/>
      <c r="D141" s="1"/>
      <c r="E141" s="1"/>
      <c r="F141" s="1"/>
      <c r="G141" s="1"/>
      <c r="H141" s="1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40"/>
      <c r="C142" s="1"/>
      <c r="D142" s="1"/>
      <c r="E142" s="1"/>
      <c r="F142" s="1"/>
      <c r="G142" s="1"/>
      <c r="H142" s="1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40"/>
      <c r="C143" s="1"/>
      <c r="D143" s="1"/>
      <c r="E143" s="1"/>
      <c r="F143" s="1"/>
      <c r="G143" s="1"/>
      <c r="H143" s="1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40"/>
      <c r="C144" s="1"/>
      <c r="D144" s="1"/>
      <c r="E144" s="1"/>
      <c r="F144" s="1"/>
      <c r="G144" s="1"/>
      <c r="H144" s="1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40"/>
      <c r="C145" s="1"/>
      <c r="D145" s="1"/>
      <c r="E145" s="1"/>
      <c r="F145" s="1"/>
      <c r="G145" s="1"/>
      <c r="H145" s="1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40"/>
      <c r="C146" s="1"/>
      <c r="D146" s="1"/>
      <c r="E146" s="1"/>
      <c r="F146" s="1"/>
      <c r="G146" s="1"/>
      <c r="H146" s="1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40"/>
      <c r="C147" s="1"/>
      <c r="D147" s="1"/>
      <c r="E147" s="1"/>
      <c r="F147" s="1"/>
      <c r="G147" s="1"/>
      <c r="H147" s="1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40"/>
      <c r="C148" s="1"/>
      <c r="D148" s="1"/>
      <c r="E148" s="1"/>
      <c r="F148" s="1"/>
      <c r="G148" s="1"/>
      <c r="H148" s="1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40"/>
      <c r="C149" s="1"/>
      <c r="D149" s="1"/>
      <c r="E149" s="1"/>
      <c r="F149" s="1"/>
      <c r="G149" s="1"/>
      <c r="H149" s="1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40"/>
      <c r="C150" s="1"/>
      <c r="D150" s="1"/>
      <c r="E150" s="1"/>
      <c r="F150" s="1"/>
      <c r="G150" s="1"/>
      <c r="H150" s="1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40"/>
      <c r="C151" s="1"/>
      <c r="D151" s="1"/>
      <c r="E151" s="1"/>
      <c r="F151" s="1"/>
      <c r="G151" s="1"/>
      <c r="H151" s="1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40"/>
      <c r="C152" s="1"/>
      <c r="D152" s="1"/>
      <c r="E152" s="1"/>
      <c r="F152" s="1"/>
      <c r="G152" s="1"/>
      <c r="H152" s="1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40"/>
      <c r="C153" s="1"/>
      <c r="D153" s="1"/>
      <c r="E153" s="1"/>
      <c r="F153" s="1"/>
      <c r="G153" s="1"/>
      <c r="H153" s="1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40"/>
      <c r="C154" s="1"/>
      <c r="D154" s="1"/>
      <c r="E154" s="1"/>
      <c r="F154" s="1"/>
      <c r="G154" s="1"/>
      <c r="H154" s="1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40"/>
      <c r="C155" s="1"/>
      <c r="D155" s="1"/>
      <c r="E155" s="1"/>
      <c r="F155" s="1"/>
      <c r="G155" s="1"/>
      <c r="H155" s="1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40"/>
      <c r="C156" s="1"/>
      <c r="D156" s="1"/>
      <c r="E156" s="1"/>
      <c r="F156" s="1"/>
      <c r="G156" s="1"/>
      <c r="H156" s="1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40"/>
      <c r="C157" s="1"/>
      <c r="D157" s="1"/>
      <c r="E157" s="1"/>
      <c r="F157" s="1"/>
      <c r="G157" s="1"/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40"/>
      <c r="C158" s="1"/>
      <c r="D158" s="1"/>
      <c r="E158" s="1"/>
      <c r="F158" s="1"/>
      <c r="G158" s="1"/>
      <c r="H158" s="1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40"/>
      <c r="C159" s="1"/>
      <c r="D159" s="1"/>
      <c r="E159" s="1"/>
      <c r="F159" s="1"/>
      <c r="G159" s="1"/>
      <c r="H159" s="1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40"/>
      <c r="C160" s="1"/>
      <c r="D160" s="1"/>
      <c r="E160" s="1"/>
      <c r="F160" s="1"/>
      <c r="G160" s="1"/>
      <c r="H160" s="1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40"/>
      <c r="C161" s="1"/>
      <c r="D161" s="1"/>
      <c r="E161" s="1"/>
      <c r="F161" s="1"/>
      <c r="G161" s="1"/>
      <c r="H161" s="1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40"/>
      <c r="C162" s="1"/>
      <c r="D162" s="1"/>
      <c r="E162" s="1"/>
      <c r="F162" s="1"/>
      <c r="G162" s="1"/>
      <c r="H162" s="1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40"/>
      <c r="C163" s="1"/>
      <c r="D163" s="1"/>
      <c r="E163" s="1"/>
      <c r="F163" s="1"/>
      <c r="G163" s="1"/>
      <c r="H163" s="1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40"/>
      <c r="C164" s="1"/>
      <c r="D164" s="1"/>
      <c r="E164" s="1"/>
      <c r="F164" s="1"/>
      <c r="G164" s="1"/>
      <c r="H164" s="1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40"/>
      <c r="C165" s="1"/>
      <c r="D165" s="1"/>
      <c r="E165" s="1"/>
      <c r="F165" s="1"/>
      <c r="G165" s="1"/>
      <c r="H165" s="1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40"/>
      <c r="C166" s="1"/>
      <c r="D166" s="1"/>
      <c r="E166" s="1"/>
      <c r="F166" s="1"/>
      <c r="G166" s="1"/>
      <c r="H166" s="1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40"/>
      <c r="C167" s="1"/>
      <c r="D167" s="1"/>
      <c r="E167" s="1"/>
      <c r="F167" s="1"/>
      <c r="G167" s="1"/>
      <c r="H167" s="1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40"/>
      <c r="C168" s="1"/>
      <c r="D168" s="1"/>
      <c r="E168" s="1"/>
      <c r="F168" s="1"/>
      <c r="G168" s="1"/>
      <c r="H168" s="1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40"/>
      <c r="C169" s="1"/>
      <c r="D169" s="1"/>
      <c r="E169" s="1"/>
      <c r="F169" s="1"/>
      <c r="G169" s="1"/>
      <c r="H169" s="1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40"/>
      <c r="C170" s="1"/>
      <c r="D170" s="1"/>
      <c r="E170" s="1"/>
      <c r="F170" s="1"/>
      <c r="G170" s="1"/>
      <c r="H170" s="1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40"/>
      <c r="C171" s="1"/>
      <c r="D171" s="1"/>
      <c r="E171" s="1"/>
      <c r="F171" s="1"/>
      <c r="G171" s="1"/>
      <c r="H171" s="1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40"/>
      <c r="C172" s="1"/>
      <c r="D172" s="1"/>
      <c r="E172" s="1"/>
      <c r="F172" s="1"/>
      <c r="G172" s="1"/>
      <c r="H172" s="1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40"/>
      <c r="C173" s="1"/>
      <c r="D173" s="1"/>
      <c r="E173" s="1"/>
      <c r="F173" s="1"/>
      <c r="G173" s="1"/>
      <c r="H173" s="1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40"/>
      <c r="C174" s="1"/>
      <c r="D174" s="1"/>
      <c r="E174" s="1"/>
      <c r="F174" s="1"/>
      <c r="G174" s="1"/>
      <c r="H174" s="1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40"/>
      <c r="C175" s="1"/>
      <c r="D175" s="1"/>
      <c r="E175" s="1"/>
      <c r="F175" s="1"/>
      <c r="G175" s="1"/>
      <c r="H175" s="1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40"/>
      <c r="C176" s="1"/>
      <c r="D176" s="1"/>
      <c r="E176" s="1"/>
      <c r="F176" s="1"/>
      <c r="G176" s="1"/>
      <c r="H176" s="1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40"/>
      <c r="C177" s="1"/>
      <c r="D177" s="1"/>
      <c r="E177" s="1"/>
      <c r="F177" s="1"/>
      <c r="G177" s="1"/>
      <c r="H177" s="1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40"/>
      <c r="C178" s="1"/>
      <c r="D178" s="1"/>
      <c r="E178" s="1"/>
      <c r="F178" s="1"/>
      <c r="G178" s="1"/>
      <c r="H178" s="1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40"/>
      <c r="C179" s="1"/>
      <c r="D179" s="1"/>
      <c r="E179" s="1"/>
      <c r="F179" s="1"/>
      <c r="G179" s="1"/>
      <c r="H179" s="1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40"/>
      <c r="C180" s="1"/>
      <c r="D180" s="1"/>
      <c r="E180" s="1"/>
      <c r="F180" s="1"/>
      <c r="G180" s="1"/>
      <c r="H180" s="1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40"/>
      <c r="C181" s="1"/>
      <c r="D181" s="1"/>
      <c r="E181" s="1"/>
      <c r="F181" s="1"/>
      <c r="G181" s="1"/>
      <c r="H181" s="1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40"/>
      <c r="C182" s="1"/>
      <c r="D182" s="1"/>
      <c r="E182" s="1"/>
      <c r="F182" s="1"/>
      <c r="G182" s="1"/>
      <c r="H182" s="1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40"/>
      <c r="C183" s="1"/>
      <c r="D183" s="1"/>
      <c r="E183" s="1"/>
      <c r="F183" s="1"/>
      <c r="G183" s="1"/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40"/>
      <c r="C184" s="1"/>
      <c r="D184" s="1"/>
      <c r="E184" s="1"/>
      <c r="F184" s="1"/>
      <c r="G184" s="1"/>
      <c r="H184" s="1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40"/>
      <c r="C185" s="1"/>
      <c r="D185" s="1"/>
      <c r="E185" s="1"/>
      <c r="F185" s="1"/>
      <c r="G185" s="1"/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40"/>
      <c r="C186" s="1"/>
      <c r="D186" s="1"/>
      <c r="E186" s="1"/>
      <c r="F186" s="1"/>
      <c r="G186" s="1"/>
      <c r="H186" s="1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40"/>
      <c r="C187" s="1"/>
      <c r="D187" s="1"/>
      <c r="E187" s="1"/>
      <c r="F187" s="1"/>
      <c r="G187" s="1"/>
      <c r="H187" s="1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40"/>
      <c r="C188" s="1"/>
      <c r="D188" s="1"/>
      <c r="E188" s="1"/>
      <c r="F188" s="1"/>
      <c r="G188" s="1"/>
      <c r="H188" s="1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40"/>
      <c r="C189" s="1"/>
      <c r="D189" s="1"/>
      <c r="E189" s="1"/>
      <c r="F189" s="1"/>
      <c r="G189" s="1"/>
      <c r="H189" s="1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40"/>
      <c r="C190" s="1"/>
      <c r="D190" s="1"/>
      <c r="E190" s="1"/>
      <c r="F190" s="1"/>
      <c r="G190" s="1"/>
      <c r="H190" s="1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40"/>
      <c r="C191" s="1"/>
      <c r="D191" s="1"/>
      <c r="E191" s="1"/>
      <c r="F191" s="1"/>
      <c r="G191" s="1"/>
      <c r="H191" s="1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40"/>
      <c r="C192" s="1"/>
      <c r="D192" s="1"/>
      <c r="E192" s="1"/>
      <c r="F192" s="1"/>
      <c r="G192" s="1"/>
      <c r="H192" s="1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40"/>
      <c r="C193" s="1"/>
      <c r="D193" s="1"/>
      <c r="E193" s="1"/>
      <c r="F193" s="1"/>
      <c r="G193" s="1"/>
      <c r="H193" s="1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40"/>
      <c r="C194" s="1"/>
      <c r="D194" s="1"/>
      <c r="E194" s="1"/>
      <c r="F194" s="1"/>
      <c r="G194" s="1"/>
      <c r="H194" s="1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40"/>
      <c r="C195" s="1"/>
      <c r="D195" s="1"/>
      <c r="E195" s="1"/>
      <c r="F195" s="1"/>
      <c r="G195" s="1"/>
      <c r="H195" s="1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40"/>
      <c r="C196" s="1"/>
      <c r="D196" s="1"/>
      <c r="E196" s="1"/>
      <c r="F196" s="1"/>
      <c r="G196" s="1"/>
      <c r="H196" s="1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40"/>
      <c r="C197" s="1"/>
      <c r="D197" s="1"/>
      <c r="E197" s="1"/>
      <c r="F197" s="1"/>
      <c r="G197" s="1"/>
      <c r="H197" s="1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40"/>
      <c r="C198" s="1"/>
      <c r="D198" s="1"/>
      <c r="E198" s="1"/>
      <c r="F198" s="1"/>
      <c r="G198" s="1"/>
      <c r="H198" s="1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40"/>
      <c r="C199" s="1"/>
      <c r="D199" s="1"/>
      <c r="E199" s="1"/>
      <c r="F199" s="1"/>
      <c r="G199" s="1"/>
      <c r="H199" s="1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40"/>
      <c r="C200" s="1"/>
      <c r="D200" s="1"/>
      <c r="E200" s="1"/>
      <c r="F200" s="1"/>
      <c r="G200" s="1"/>
      <c r="H200" s="1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40"/>
      <c r="C201" s="1"/>
      <c r="D201" s="1"/>
      <c r="E201" s="1"/>
      <c r="F201" s="1"/>
      <c r="G201" s="1"/>
      <c r="H201" s="1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40"/>
      <c r="C202" s="1"/>
      <c r="D202" s="1"/>
      <c r="E202" s="1"/>
      <c r="F202" s="1"/>
      <c r="G202" s="1"/>
      <c r="H202" s="1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40"/>
      <c r="C203" s="1"/>
      <c r="D203" s="1"/>
      <c r="E203" s="1"/>
      <c r="F203" s="1"/>
      <c r="G203" s="1"/>
      <c r="H203" s="1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40"/>
      <c r="C204" s="1"/>
      <c r="D204" s="1"/>
      <c r="E204" s="1"/>
      <c r="F204" s="1"/>
      <c r="G204" s="1"/>
      <c r="H204" s="1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40"/>
      <c r="C205" s="1"/>
      <c r="D205" s="1"/>
      <c r="E205" s="1"/>
      <c r="F205" s="1"/>
      <c r="G205" s="1"/>
      <c r="H205" s="1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40"/>
      <c r="C206" s="1"/>
      <c r="D206" s="1"/>
      <c r="E206" s="1"/>
      <c r="F206" s="1"/>
      <c r="G206" s="1"/>
      <c r="H206" s="1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40"/>
      <c r="C207" s="1"/>
      <c r="D207" s="1"/>
      <c r="E207" s="1"/>
      <c r="F207" s="1"/>
      <c r="G207" s="1"/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40"/>
      <c r="C208" s="1"/>
      <c r="D208" s="1"/>
      <c r="E208" s="1"/>
      <c r="F208" s="1"/>
      <c r="G208" s="1"/>
      <c r="H208" s="1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40"/>
      <c r="C209" s="1"/>
      <c r="D209" s="1"/>
      <c r="E209" s="1"/>
      <c r="F209" s="1"/>
      <c r="G209" s="1"/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40"/>
      <c r="C210" s="1"/>
      <c r="D210" s="1"/>
      <c r="E210" s="1"/>
      <c r="F210" s="1"/>
      <c r="G210" s="1"/>
      <c r="H210" s="1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40"/>
      <c r="C211" s="1"/>
      <c r="D211" s="1"/>
      <c r="E211" s="1"/>
      <c r="F211" s="1"/>
      <c r="G211" s="1"/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40"/>
      <c r="C212" s="1"/>
      <c r="D212" s="1"/>
      <c r="E212" s="1"/>
      <c r="F212" s="1"/>
      <c r="G212" s="1"/>
      <c r="H212" s="1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40"/>
      <c r="C213" s="1"/>
      <c r="D213" s="1"/>
      <c r="E213" s="1"/>
      <c r="F213" s="1"/>
      <c r="G213" s="1"/>
      <c r="H213" s="1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40"/>
      <c r="C214" s="1"/>
      <c r="D214" s="1"/>
      <c r="E214" s="1"/>
      <c r="F214" s="1"/>
      <c r="G214" s="1"/>
      <c r="H214" s="1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40"/>
      <c r="C215" s="1"/>
      <c r="D215" s="1"/>
      <c r="E215" s="1"/>
      <c r="F215" s="1"/>
      <c r="G215" s="1"/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40"/>
      <c r="C216" s="1"/>
      <c r="D216" s="1"/>
      <c r="E216" s="1"/>
      <c r="F216" s="1"/>
      <c r="G216" s="1"/>
      <c r="H216" s="1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40"/>
      <c r="C217" s="1"/>
      <c r="D217" s="1"/>
      <c r="E217" s="1"/>
      <c r="F217" s="1"/>
      <c r="G217" s="1"/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40"/>
      <c r="C218" s="1"/>
      <c r="D218" s="1"/>
      <c r="E218" s="1"/>
      <c r="F218" s="1"/>
      <c r="G218" s="1"/>
      <c r="H218" s="1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40"/>
      <c r="C219" s="1"/>
      <c r="D219" s="1"/>
      <c r="E219" s="1"/>
      <c r="F219" s="1"/>
      <c r="G219" s="1"/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40"/>
      <c r="C220" s="1"/>
      <c r="D220" s="1"/>
      <c r="E220" s="1"/>
      <c r="F220" s="1"/>
      <c r="G220" s="1"/>
      <c r="H220" s="1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H3:H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Ankur Monday Week 1</vt:lpstr>
      <vt:lpstr>Ankur Monday Week 2</vt:lpstr>
      <vt:lpstr>Ankur Tuseday</vt:lpstr>
      <vt:lpstr>Ankur Wednesday Week 1</vt:lpstr>
      <vt:lpstr>Ankur Wednesday Week 2</vt:lpstr>
      <vt:lpstr>Ankur Thursday</vt:lpstr>
      <vt:lpstr>Ankur Friday Week 1</vt:lpstr>
      <vt:lpstr>Ankur Friday Week 2</vt:lpstr>
      <vt:lpstr>Ankur Saturday Week 2</vt:lpstr>
      <vt:lpstr>Ankur Saturday Week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Android</cp:lastModifiedBy>
  <dcterms:modified xsi:type="dcterms:W3CDTF">2026-04-09T08:39:34Z</dcterms:modified>
</cp:coreProperties>
</file>