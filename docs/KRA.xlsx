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agan\Desktop\"/>
    </mc:Choice>
  </mc:AlternateContent>
  <xr:revisionPtr revIDLastSave="0" documentId="13_ncr:1_{AEBB8B88-C58E-48BE-ABE1-5557ED4987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les KR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6" i="1" l="1"/>
  <c r="F43" i="1"/>
  <c r="F42" i="1"/>
  <c r="F41" i="1"/>
  <c r="F40" i="1"/>
  <c r="F39" i="1"/>
  <c r="F44" i="1" s="1"/>
  <c r="F34" i="1"/>
  <c r="F33" i="1"/>
  <c r="F32" i="1"/>
  <c r="F31" i="1"/>
  <c r="F30" i="1"/>
  <c r="F35" i="1" s="1"/>
  <c r="I21" i="1"/>
  <c r="I22" i="1"/>
  <c r="I23" i="1"/>
  <c r="I24" i="1"/>
  <c r="I20" i="1"/>
  <c r="I25" i="1" s="1"/>
  <c r="F21" i="1"/>
  <c r="F22" i="1"/>
  <c r="F23" i="1"/>
  <c r="F24" i="1"/>
  <c r="F20" i="1"/>
  <c r="F25" i="1" s="1"/>
  <c r="F36" i="1" l="1"/>
  <c r="F27" i="1"/>
</calcChain>
</file>

<file path=xl/sharedStrings.xml><?xml version="1.0" encoding="utf-8"?>
<sst xmlns="http://schemas.openxmlformats.org/spreadsheetml/2006/main" count="102" uniqueCount="61">
  <si>
    <t>Beat Wise Productivity</t>
  </si>
  <si>
    <t>Product Mix</t>
  </si>
  <si>
    <t>Number of Counter</t>
  </si>
  <si>
    <t xml:space="preserve">&gt;15 </t>
  </si>
  <si>
    <t>Point</t>
  </si>
  <si>
    <t>&gt;7 &lt;10</t>
  </si>
  <si>
    <t>&lt;7</t>
  </si>
  <si>
    <t>&lt;2</t>
  </si>
  <si>
    <t>Number of Product per Beat</t>
  </si>
  <si>
    <t>Basic Amount</t>
  </si>
  <si>
    <t>&gt;30 Lakhs</t>
  </si>
  <si>
    <t>For annual Achievement we need to take average of every month</t>
  </si>
  <si>
    <t>Weightage on Overall Score: 20%</t>
  </si>
  <si>
    <t>Weightage on Overall Score: 30%</t>
  </si>
  <si>
    <t>&gt;20 &lt;30</t>
  </si>
  <si>
    <t>Overall Business/Month/Average</t>
  </si>
  <si>
    <t>&gt;10 &lt;20</t>
  </si>
  <si>
    <t>&lt;10</t>
  </si>
  <si>
    <t>Average counter visit/Beat/month</t>
  </si>
  <si>
    <t>&gt;=10 &lt;15</t>
  </si>
  <si>
    <t>Behavioural Aspects</t>
  </si>
  <si>
    <t>hygien and cleanliness</t>
  </si>
  <si>
    <t>Dress Code</t>
  </si>
  <si>
    <t>Behaviour toward other colloegues</t>
  </si>
  <si>
    <t>Absentism</t>
  </si>
  <si>
    <t>Routein Task Completion</t>
  </si>
  <si>
    <t>Weightage on Overall Score: 10%</t>
  </si>
  <si>
    <t xml:space="preserve">% counter active </t>
  </si>
  <si>
    <t>&gt;70%</t>
  </si>
  <si>
    <t>&gt;50&lt;=70%</t>
  </si>
  <si>
    <t>&gt;25%&lt;50%</t>
  </si>
  <si>
    <t>&lt;25%</t>
  </si>
  <si>
    <t>% of counter in Beat</t>
  </si>
  <si>
    <t>For activation</t>
  </si>
  <si>
    <t>A Class</t>
  </si>
  <si>
    <t>50k per month</t>
  </si>
  <si>
    <t>B Class</t>
  </si>
  <si>
    <t>25k per month</t>
  </si>
  <si>
    <t>C Class</t>
  </si>
  <si>
    <t>Max 4 points</t>
  </si>
  <si>
    <t>Best Score</t>
  </si>
  <si>
    <t xml:space="preserve">&gt;75% </t>
  </si>
  <si>
    <t>Eligible for promotion and increment</t>
  </si>
  <si>
    <t>&lt;75%&gt;50%</t>
  </si>
  <si>
    <t>Eligible for promotion and increment+ Incentive/Bonus</t>
  </si>
  <si>
    <t>Sample: 2</t>
  </si>
  <si>
    <t>Sample: 1</t>
  </si>
  <si>
    <t>Total Score</t>
  </si>
  <si>
    <t>Final Achievement</t>
  </si>
  <si>
    <t>Not Eligible for Increment or promtion of incentive</t>
  </si>
  <si>
    <t>12k per Monnth</t>
  </si>
  <si>
    <t>Number of Beat</t>
  </si>
  <si>
    <t>&lt;3</t>
  </si>
  <si>
    <t>Min 12% business from each beat</t>
  </si>
  <si>
    <t>OR</t>
  </si>
  <si>
    <t>KRA FOR SALES TEAM - FY 26-27</t>
  </si>
  <si>
    <t>Average Counter Visit/Day/Beat</t>
  </si>
  <si>
    <t>Note: Bonus and incentive will only be paid when there is No party Due more than 60 days</t>
  </si>
  <si>
    <t>40-50%</t>
  </si>
  <si>
    <t>&lt;40%</t>
  </si>
  <si>
    <t>Will be issued a performance inprovement letter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</si>
</sst>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2" xfId="0" applyBorder="1" applyAlignment="1">
      <alignment horizontal="left"/>
    </xf>
    <xf numFmtId="0" fontId="0" fillId="0" borderId="17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17" xfId="0" applyFont="1" applyBorder="1" applyAlignment="1">
      <alignment horizontal="center"/>
    </xf>
    <xf numFmtId="9" fontId="4" fillId="0" borderId="16" xfId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21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9" fontId="0" fillId="0" borderId="0" xfId="1" applyFont="1" applyBorder="1" applyAlignment="1">
      <alignment horizontal="center"/>
    </xf>
    <xf numFmtId="0" fontId="0" fillId="0" borderId="23" xfId="0" applyBorder="1"/>
    <xf numFmtId="0" fontId="0" fillId="0" borderId="8" xfId="0" applyBorder="1"/>
    <xf numFmtId="0" fontId="0" fillId="0" borderId="0" xfId="0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4" fillId="2" borderId="26" xfId="0" applyFont="1" applyFill="1" applyBorder="1" applyAlignment="1">
      <alignment horizontal="center" vertical="center"/>
    </xf>
    <xf numFmtId="0" fontId="0" fillId="2" borderId="11" xfId="0" applyFill="1" applyBorder="1"/>
    <xf numFmtId="0" fontId="0" fillId="2" borderId="25" xfId="0" applyFill="1" applyBorder="1"/>
    <xf numFmtId="0" fontId="0" fillId="2" borderId="12" xfId="0" applyFill="1" applyBorder="1"/>
    <xf numFmtId="0" fontId="4" fillId="2" borderId="27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" xfId="0" applyFill="1" applyBorder="1"/>
    <xf numFmtId="0" fontId="0" fillId="2" borderId="14" xfId="0" applyFill="1" applyBorder="1"/>
    <xf numFmtId="0" fontId="4" fillId="2" borderId="28" xfId="0" applyFont="1" applyFill="1" applyBorder="1" applyAlignment="1">
      <alignment horizontal="center" vertical="center"/>
    </xf>
    <xf numFmtId="0" fontId="0" fillId="2" borderId="15" xfId="0" applyFill="1" applyBorder="1"/>
    <xf numFmtId="0" fontId="0" fillId="2" borderId="17" xfId="0" applyFill="1" applyBorder="1"/>
    <xf numFmtId="0" fontId="0" fillId="2" borderId="16" xfId="0" applyFill="1" applyBorder="1"/>
    <xf numFmtId="0" fontId="7" fillId="2" borderId="2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6"/>
  <sheetViews>
    <sheetView tabSelected="1" topLeftCell="A7" zoomScaleNormal="100" workbookViewId="0">
      <selection activeCell="H24" sqref="H24"/>
    </sheetView>
  </sheetViews>
  <sheetFormatPr defaultRowHeight="15" x14ac:dyDescent="0.25"/>
  <cols>
    <col min="2" max="2" width="32" bestFit="1" customWidth="1"/>
    <col min="3" max="3" width="9.28515625" customWidth="1"/>
    <col min="5" max="5" width="21.42578125" style="1" bestFit="1" customWidth="1"/>
    <col min="6" max="6" width="15" style="1" bestFit="1" customWidth="1"/>
    <col min="8" max="8" width="26.28515625" bestFit="1" customWidth="1"/>
    <col min="9" max="9" width="10.5703125" customWidth="1"/>
    <col min="10" max="10" width="8.140625" customWidth="1"/>
    <col min="11" max="11" width="22.7109375" customWidth="1"/>
    <col min="15" max="15" width="32.7109375" bestFit="1" customWidth="1"/>
    <col min="17" max="17" width="19" hidden="1" customWidth="1"/>
    <col min="18" max="18" width="15" hidden="1" customWidth="1"/>
  </cols>
  <sheetData>
    <row r="1" spans="1:15" ht="15.75" thickBot="1" x14ac:dyDescent="0.3"/>
    <row r="2" spans="1:15" ht="33" thickBot="1" x14ac:dyDescent="0.55000000000000004">
      <c r="A2" s="22"/>
      <c r="B2" s="31" t="s">
        <v>55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3"/>
    </row>
    <row r="3" spans="1:15" x14ac:dyDescent="0.25">
      <c r="A3" s="23"/>
      <c r="O3" s="24">
        <v>5</v>
      </c>
    </row>
    <row r="4" spans="1:15" ht="15.75" thickBot="1" x14ac:dyDescent="0.3">
      <c r="A4" s="23"/>
      <c r="B4">
        <v>1</v>
      </c>
      <c r="E4" s="1">
        <v>2</v>
      </c>
      <c r="H4">
        <v>3</v>
      </c>
      <c r="K4">
        <v>4</v>
      </c>
      <c r="O4" s="24" t="s">
        <v>39</v>
      </c>
    </row>
    <row r="5" spans="1:15" ht="15.75" thickBot="1" x14ac:dyDescent="0.3">
      <c r="A5" s="23"/>
      <c r="B5" s="46" t="s">
        <v>56</v>
      </c>
      <c r="C5" s="47"/>
      <c r="E5" s="34" t="s">
        <v>0</v>
      </c>
      <c r="F5" s="35"/>
      <c r="H5" s="48" t="s">
        <v>1</v>
      </c>
      <c r="I5" s="49"/>
      <c r="K5" s="36" t="s">
        <v>15</v>
      </c>
      <c r="L5" s="37"/>
      <c r="N5" s="34" t="s">
        <v>20</v>
      </c>
      <c r="O5" s="35"/>
    </row>
    <row r="6" spans="1:15" ht="15.75" thickBot="1" x14ac:dyDescent="0.3">
      <c r="A6" s="23"/>
      <c r="B6" s="3" t="s">
        <v>2</v>
      </c>
      <c r="C6" s="4" t="s">
        <v>4</v>
      </c>
      <c r="E6" s="34" t="s">
        <v>27</v>
      </c>
      <c r="F6" s="35"/>
      <c r="H6" s="3" t="s">
        <v>8</v>
      </c>
      <c r="I6" s="4" t="s">
        <v>4</v>
      </c>
      <c r="K6" s="3" t="s">
        <v>9</v>
      </c>
      <c r="L6" s="4" t="s">
        <v>4</v>
      </c>
      <c r="N6" s="17">
        <v>1</v>
      </c>
      <c r="O6" s="18" t="s">
        <v>21</v>
      </c>
    </row>
    <row r="7" spans="1:15" x14ac:dyDescent="0.25">
      <c r="A7" s="23"/>
      <c r="B7" s="5" t="s">
        <v>3</v>
      </c>
      <c r="C7" s="6">
        <v>2</v>
      </c>
      <c r="E7" s="3" t="s">
        <v>32</v>
      </c>
      <c r="F7" s="4" t="s">
        <v>4</v>
      </c>
      <c r="H7" s="5">
        <v>5</v>
      </c>
      <c r="I7" s="6">
        <v>2</v>
      </c>
      <c r="K7" s="5" t="s">
        <v>10</v>
      </c>
      <c r="L7" s="6">
        <v>2</v>
      </c>
      <c r="N7" s="5">
        <v>2</v>
      </c>
      <c r="O7" s="6" t="s">
        <v>22</v>
      </c>
    </row>
    <row r="8" spans="1:15" x14ac:dyDescent="0.25">
      <c r="A8" s="23"/>
      <c r="B8" s="5" t="s">
        <v>19</v>
      </c>
      <c r="C8" s="6">
        <v>1</v>
      </c>
      <c r="E8" s="5" t="s">
        <v>28</v>
      </c>
      <c r="F8" s="6">
        <v>2</v>
      </c>
      <c r="H8" s="5">
        <v>4</v>
      </c>
      <c r="I8" s="6">
        <v>1</v>
      </c>
      <c r="K8" s="5" t="s">
        <v>14</v>
      </c>
      <c r="L8" s="6">
        <v>1</v>
      </c>
      <c r="N8" s="5">
        <v>3</v>
      </c>
      <c r="O8" s="6" t="s">
        <v>23</v>
      </c>
    </row>
    <row r="9" spans="1:15" x14ac:dyDescent="0.25">
      <c r="A9" s="23"/>
      <c r="B9" s="5" t="s">
        <v>5</v>
      </c>
      <c r="C9" s="6">
        <v>0.5</v>
      </c>
      <c r="E9" s="5" t="s">
        <v>29</v>
      </c>
      <c r="F9" s="6">
        <v>1</v>
      </c>
      <c r="H9" s="5">
        <v>3</v>
      </c>
      <c r="I9" s="6">
        <v>0.5</v>
      </c>
      <c r="K9" s="5" t="s">
        <v>16</v>
      </c>
      <c r="L9" s="6">
        <v>0.75</v>
      </c>
      <c r="N9" s="5">
        <v>4</v>
      </c>
      <c r="O9" s="6" t="s">
        <v>24</v>
      </c>
    </row>
    <row r="10" spans="1:15" ht="15.75" thickBot="1" x14ac:dyDescent="0.3">
      <c r="A10" s="23"/>
      <c r="B10" s="7" t="s">
        <v>6</v>
      </c>
      <c r="C10" s="8">
        <v>0</v>
      </c>
      <c r="E10" s="5" t="s">
        <v>30</v>
      </c>
      <c r="F10" s="6">
        <v>0.5</v>
      </c>
      <c r="H10" s="7" t="s">
        <v>7</v>
      </c>
      <c r="I10" s="8">
        <v>0</v>
      </c>
      <c r="K10" s="7" t="s">
        <v>17</v>
      </c>
      <c r="L10" s="8">
        <v>0</v>
      </c>
      <c r="N10" s="7">
        <v>5</v>
      </c>
      <c r="O10" s="8" t="s">
        <v>25</v>
      </c>
    </row>
    <row r="11" spans="1:15" ht="15.75" thickBot="1" x14ac:dyDescent="0.3">
      <c r="A11" s="23"/>
      <c r="E11" s="7" t="s">
        <v>31</v>
      </c>
      <c r="F11" s="8">
        <v>0</v>
      </c>
      <c r="O11" s="24"/>
    </row>
    <row r="12" spans="1:15" ht="48.75" customHeight="1" thickBot="1" x14ac:dyDescent="0.3">
      <c r="A12" s="23"/>
      <c r="B12" s="30" t="s">
        <v>11</v>
      </c>
      <c r="C12" s="30"/>
      <c r="D12" s="25"/>
      <c r="E12" s="30" t="s">
        <v>11</v>
      </c>
      <c r="F12" s="30"/>
      <c r="G12" s="25"/>
      <c r="H12" s="30" t="s">
        <v>11</v>
      </c>
      <c r="I12" s="30"/>
      <c r="J12" s="25"/>
      <c r="K12" s="30" t="s">
        <v>11</v>
      </c>
      <c r="L12" s="30"/>
      <c r="M12" s="25"/>
      <c r="N12" s="25"/>
      <c r="O12" s="26"/>
    </row>
    <row r="13" spans="1:15" ht="15.75" thickBot="1" x14ac:dyDescent="0.3">
      <c r="A13" s="23"/>
      <c r="B13" s="34" t="s">
        <v>12</v>
      </c>
      <c r="C13" s="35"/>
      <c r="E13" s="34" t="s">
        <v>12</v>
      </c>
      <c r="F13" s="35"/>
      <c r="H13" s="34" t="s">
        <v>12</v>
      </c>
      <c r="I13" s="35"/>
      <c r="K13" s="34" t="s">
        <v>13</v>
      </c>
      <c r="L13" s="35"/>
      <c r="N13" s="15" t="s">
        <v>26</v>
      </c>
      <c r="O13" s="9"/>
    </row>
    <row r="14" spans="1:15" ht="15.75" thickBot="1" x14ac:dyDescent="0.3">
      <c r="A14" s="23"/>
      <c r="E14" s="34" t="s">
        <v>33</v>
      </c>
      <c r="F14" s="35"/>
      <c r="O14" s="24"/>
    </row>
    <row r="15" spans="1:15" x14ac:dyDescent="0.25">
      <c r="A15" s="23"/>
      <c r="E15" s="17" t="s">
        <v>34</v>
      </c>
      <c r="F15" s="18" t="s">
        <v>35</v>
      </c>
      <c r="O15" s="24"/>
    </row>
    <row r="16" spans="1:15" x14ac:dyDescent="0.25">
      <c r="A16" s="23"/>
      <c r="E16" s="5" t="s">
        <v>36</v>
      </c>
      <c r="F16" s="6" t="s">
        <v>37</v>
      </c>
      <c r="O16" s="24"/>
    </row>
    <row r="17" spans="1:18" ht="15.75" thickBot="1" x14ac:dyDescent="0.3">
      <c r="A17" s="23"/>
      <c r="E17" s="7" t="s">
        <v>38</v>
      </c>
      <c r="F17" s="8" t="s">
        <v>50</v>
      </c>
      <c r="O17" s="24"/>
    </row>
    <row r="18" spans="1:18" ht="15.75" thickBot="1" x14ac:dyDescent="0.3">
      <c r="A18" s="23"/>
      <c r="O18" s="24"/>
    </row>
    <row r="19" spans="1:18" ht="20.25" thickBot="1" x14ac:dyDescent="0.35">
      <c r="A19" s="41" t="s">
        <v>46</v>
      </c>
      <c r="B19" s="42"/>
      <c r="C19" s="42"/>
      <c r="D19" s="42"/>
      <c r="E19" s="42"/>
      <c r="F19" s="43"/>
      <c r="H19" s="44" t="s">
        <v>40</v>
      </c>
      <c r="I19" s="45"/>
      <c r="O19" s="24"/>
    </row>
    <row r="20" spans="1:18" ht="33" thickBot="1" x14ac:dyDescent="0.55000000000000004">
      <c r="A20" s="11">
        <v>1</v>
      </c>
      <c r="B20" s="10" t="s">
        <v>18</v>
      </c>
      <c r="C20" s="10">
        <v>8</v>
      </c>
      <c r="D20" s="10">
        <v>0.5</v>
      </c>
      <c r="E20" s="2">
        <v>20</v>
      </c>
      <c r="F20" s="6">
        <f>E20*D20</f>
        <v>10</v>
      </c>
      <c r="H20" s="17">
        <v>2</v>
      </c>
      <c r="I20" s="18">
        <f>H20*E20</f>
        <v>40</v>
      </c>
      <c r="O20" s="24"/>
      <c r="Q20" s="40" t="s">
        <v>54</v>
      </c>
      <c r="R20" s="40"/>
    </row>
    <row r="21" spans="1:18" ht="15.75" thickBot="1" x14ac:dyDescent="0.3">
      <c r="A21" s="11"/>
      <c r="B21" s="10" t="s">
        <v>0</v>
      </c>
      <c r="C21" s="10" t="s">
        <v>29</v>
      </c>
      <c r="D21" s="10">
        <v>0.5</v>
      </c>
      <c r="E21" s="2">
        <v>20</v>
      </c>
      <c r="F21" s="6">
        <f t="shared" ref="F21:F24" si="0">E21*D21</f>
        <v>10</v>
      </c>
      <c r="H21" s="5">
        <v>2</v>
      </c>
      <c r="I21" s="6">
        <f>H21*E21</f>
        <v>40</v>
      </c>
      <c r="O21" s="24"/>
      <c r="Q21" s="34" t="s">
        <v>0</v>
      </c>
      <c r="R21" s="35"/>
    </row>
    <row r="22" spans="1:18" ht="15.75" thickBot="1" x14ac:dyDescent="0.3">
      <c r="A22" s="11"/>
      <c r="B22" s="10" t="s">
        <v>1</v>
      </c>
      <c r="C22" s="10">
        <v>3</v>
      </c>
      <c r="D22" s="10">
        <v>1</v>
      </c>
      <c r="E22" s="2">
        <v>20</v>
      </c>
      <c r="F22" s="6">
        <f t="shared" si="0"/>
        <v>20</v>
      </c>
      <c r="H22" s="5">
        <v>2</v>
      </c>
      <c r="I22" s="6">
        <f>H22*E22</f>
        <v>40</v>
      </c>
      <c r="K22" s="1"/>
      <c r="O22" s="24"/>
      <c r="Q22" s="34" t="s">
        <v>53</v>
      </c>
      <c r="R22" s="35"/>
    </row>
    <row r="23" spans="1:18" x14ac:dyDescent="0.25">
      <c r="A23" s="11"/>
      <c r="B23" s="10" t="s">
        <v>15</v>
      </c>
      <c r="C23" s="10">
        <v>15</v>
      </c>
      <c r="D23" s="10">
        <v>0.75</v>
      </c>
      <c r="E23" s="2">
        <v>30</v>
      </c>
      <c r="F23" s="6">
        <f t="shared" si="0"/>
        <v>22.5</v>
      </c>
      <c r="H23" s="5">
        <v>2</v>
      </c>
      <c r="I23" s="6">
        <f>H23*E23</f>
        <v>60</v>
      </c>
      <c r="O23" s="24"/>
      <c r="Q23" s="3" t="s">
        <v>51</v>
      </c>
      <c r="R23" s="4" t="s">
        <v>4</v>
      </c>
    </row>
    <row r="24" spans="1:18" x14ac:dyDescent="0.25">
      <c r="A24" s="11"/>
      <c r="B24" s="10" t="s">
        <v>20</v>
      </c>
      <c r="C24" s="10"/>
      <c r="D24" s="10">
        <v>2</v>
      </c>
      <c r="E24" s="2">
        <v>10</v>
      </c>
      <c r="F24" s="6">
        <f t="shared" si="0"/>
        <v>20</v>
      </c>
      <c r="H24" s="5">
        <v>4</v>
      </c>
      <c r="I24" s="6">
        <f>H24*E24</f>
        <v>40</v>
      </c>
      <c r="O24" s="24"/>
      <c r="Q24" s="5">
        <v>6</v>
      </c>
      <c r="R24" s="6">
        <v>2</v>
      </c>
    </row>
    <row r="25" spans="1:18" ht="15.75" thickBot="1" x14ac:dyDescent="0.3">
      <c r="A25" s="11"/>
      <c r="B25" s="10"/>
      <c r="C25" s="10"/>
      <c r="D25" s="10"/>
      <c r="E25" s="2" t="s">
        <v>47</v>
      </c>
      <c r="F25" s="6">
        <f>SUM(F20:F24)</f>
        <v>82.5</v>
      </c>
      <c r="H25" s="7"/>
      <c r="I25" s="8">
        <f>SUM(I20:I24)</f>
        <v>220</v>
      </c>
      <c r="O25" s="24"/>
      <c r="Q25" s="5">
        <v>4</v>
      </c>
      <c r="R25" s="6">
        <v>1</v>
      </c>
    </row>
    <row r="26" spans="1:18" x14ac:dyDescent="0.25">
      <c r="A26" s="11"/>
      <c r="B26" s="10"/>
      <c r="C26" s="10"/>
      <c r="D26" s="10"/>
      <c r="E26" s="2"/>
      <c r="F26" s="6"/>
      <c r="O26" s="24"/>
      <c r="Q26" s="5">
        <v>3</v>
      </c>
      <c r="R26" s="6">
        <v>0.5</v>
      </c>
    </row>
    <row r="27" spans="1:18" ht="16.5" thickBot="1" x14ac:dyDescent="0.3">
      <c r="A27" s="13"/>
      <c r="B27" s="16"/>
      <c r="C27" s="16"/>
      <c r="D27" s="16"/>
      <c r="E27" s="19" t="s">
        <v>48</v>
      </c>
      <c r="F27" s="20">
        <f>F25/I25</f>
        <v>0.375</v>
      </c>
      <c r="O27" s="24"/>
      <c r="Q27" s="7" t="s">
        <v>52</v>
      </c>
      <c r="R27" s="8">
        <v>0</v>
      </c>
    </row>
    <row r="28" spans="1:18" ht="15.75" thickBot="1" x14ac:dyDescent="0.3">
      <c r="A28" s="23"/>
      <c r="F28" s="27"/>
      <c r="O28" s="24"/>
    </row>
    <row r="29" spans="1:18" ht="20.25" thickBot="1" x14ac:dyDescent="0.35">
      <c r="A29" s="41" t="s">
        <v>45</v>
      </c>
      <c r="B29" s="42"/>
      <c r="C29" s="42"/>
      <c r="D29" s="42"/>
      <c r="E29" s="42"/>
      <c r="F29" s="43"/>
      <c r="H29" s="50" t="s">
        <v>48</v>
      </c>
      <c r="I29" s="51" t="s">
        <v>41</v>
      </c>
      <c r="J29" s="52" t="s">
        <v>44</v>
      </c>
      <c r="K29" s="52"/>
      <c r="L29" s="52"/>
      <c r="M29" s="53"/>
      <c r="O29" s="24"/>
      <c r="Q29" s="36" t="s">
        <v>12</v>
      </c>
      <c r="R29" s="37"/>
    </row>
    <row r="30" spans="1:18" ht="15" customHeight="1" x14ac:dyDescent="0.25">
      <c r="A30" s="11">
        <v>1</v>
      </c>
      <c r="B30" s="10" t="s">
        <v>18</v>
      </c>
      <c r="C30" s="10">
        <v>10</v>
      </c>
      <c r="D30" s="10">
        <v>1</v>
      </c>
      <c r="E30" s="2">
        <v>20</v>
      </c>
      <c r="F30" s="6">
        <f>E30*D30</f>
        <v>20</v>
      </c>
      <c r="H30" s="54"/>
      <c r="I30" s="55" t="s">
        <v>43</v>
      </c>
      <c r="J30" s="56" t="s">
        <v>42</v>
      </c>
      <c r="K30" s="56"/>
      <c r="L30" s="56"/>
      <c r="M30" s="57"/>
      <c r="O30" s="24"/>
      <c r="Q30" s="38" t="s">
        <v>33</v>
      </c>
      <c r="R30" s="39"/>
    </row>
    <row r="31" spans="1:18" ht="15" customHeight="1" x14ac:dyDescent="0.25">
      <c r="A31" s="11"/>
      <c r="B31" s="10" t="s">
        <v>0</v>
      </c>
      <c r="C31" s="10" t="s">
        <v>28</v>
      </c>
      <c r="D31" s="10">
        <v>2</v>
      </c>
      <c r="E31" s="2">
        <v>20</v>
      </c>
      <c r="F31" s="6">
        <f t="shared" ref="F31:F34" si="1">E31*D31</f>
        <v>40</v>
      </c>
      <c r="H31" s="54"/>
      <c r="I31" s="55" t="s">
        <v>58</v>
      </c>
      <c r="J31" s="56" t="s">
        <v>49</v>
      </c>
      <c r="K31" s="56"/>
      <c r="L31" s="56"/>
      <c r="M31" s="57"/>
      <c r="O31" s="24"/>
      <c r="Q31" s="5" t="s">
        <v>34</v>
      </c>
      <c r="R31" s="12" t="s">
        <v>35</v>
      </c>
    </row>
    <row r="32" spans="1:18" ht="15.75" thickBot="1" x14ac:dyDescent="0.3">
      <c r="A32" s="11"/>
      <c r="B32" s="10" t="s">
        <v>1</v>
      </c>
      <c r="C32" s="10">
        <v>4</v>
      </c>
      <c r="D32" s="10">
        <v>1</v>
      </c>
      <c r="E32" s="2">
        <v>20</v>
      </c>
      <c r="F32" s="6">
        <f t="shared" si="1"/>
        <v>20</v>
      </c>
      <c r="H32" s="58"/>
      <c r="I32" s="59" t="s">
        <v>59</v>
      </c>
      <c r="J32" s="60" t="s">
        <v>60</v>
      </c>
      <c r="K32" s="60"/>
      <c r="L32" s="60"/>
      <c r="M32" s="61"/>
      <c r="O32" s="24"/>
      <c r="Q32" s="5" t="s">
        <v>36</v>
      </c>
      <c r="R32" s="12" t="s">
        <v>37</v>
      </c>
    </row>
    <row r="33" spans="1:18" ht="16.5" thickBot="1" x14ac:dyDescent="0.3">
      <c r="A33" s="11"/>
      <c r="B33" s="10" t="s">
        <v>15</v>
      </c>
      <c r="C33" s="10">
        <v>25</v>
      </c>
      <c r="D33" s="10">
        <v>1</v>
      </c>
      <c r="E33" s="2">
        <v>30</v>
      </c>
      <c r="F33" s="6">
        <f t="shared" si="1"/>
        <v>30</v>
      </c>
      <c r="H33" s="62" t="s">
        <v>57</v>
      </c>
      <c r="I33" s="63"/>
      <c r="J33" s="63"/>
      <c r="K33" s="63"/>
      <c r="L33" s="63"/>
      <c r="M33" s="64"/>
      <c r="O33" s="24"/>
      <c r="Q33" s="7" t="s">
        <v>38</v>
      </c>
      <c r="R33" s="14" t="s">
        <v>50</v>
      </c>
    </row>
    <row r="34" spans="1:18" x14ac:dyDescent="0.25">
      <c r="A34" s="11"/>
      <c r="B34" s="10" t="s">
        <v>20</v>
      </c>
      <c r="C34" s="10"/>
      <c r="D34" s="10">
        <v>2</v>
      </c>
      <c r="E34" s="2">
        <v>10</v>
      </c>
      <c r="F34" s="6">
        <f t="shared" si="1"/>
        <v>20</v>
      </c>
      <c r="O34" s="24"/>
    </row>
    <row r="35" spans="1:18" x14ac:dyDescent="0.25">
      <c r="A35" s="11"/>
      <c r="B35" s="10"/>
      <c r="C35" s="10"/>
      <c r="D35" s="10"/>
      <c r="E35" s="2" t="s">
        <v>47</v>
      </c>
      <c r="F35" s="21">
        <f>SUM(F30:F34)</f>
        <v>130</v>
      </c>
      <c r="O35" s="24"/>
    </row>
    <row r="36" spans="1:18" ht="16.5" thickBot="1" x14ac:dyDescent="0.3">
      <c r="A36" s="13"/>
      <c r="B36" s="16"/>
      <c r="C36" s="16"/>
      <c r="D36" s="16"/>
      <c r="E36" s="19" t="s">
        <v>48</v>
      </c>
      <c r="F36" s="20">
        <f>F35/I25</f>
        <v>0.59090909090909094</v>
      </c>
      <c r="G36" s="28"/>
      <c r="H36" s="28"/>
      <c r="I36" s="28"/>
      <c r="J36" s="28"/>
      <c r="K36" s="28"/>
      <c r="L36" s="28"/>
      <c r="M36" s="28"/>
      <c r="N36" s="28"/>
      <c r="O36" s="29"/>
    </row>
    <row r="37" spans="1:18" ht="15.75" thickBot="1" x14ac:dyDescent="0.3"/>
    <row r="38" spans="1:18" ht="19.5" x14ac:dyDescent="0.3">
      <c r="A38" s="41" t="s">
        <v>46</v>
      </c>
      <c r="B38" s="42"/>
      <c r="C38" s="42"/>
      <c r="D38" s="42"/>
      <c r="E38" s="42"/>
      <c r="F38" s="43"/>
    </row>
    <row r="39" spans="1:18" x14ac:dyDescent="0.25">
      <c r="A39" s="11">
        <v>1</v>
      </c>
      <c r="B39" s="10" t="s">
        <v>18</v>
      </c>
      <c r="C39" s="10">
        <v>15</v>
      </c>
      <c r="D39" s="10">
        <v>2</v>
      </c>
      <c r="E39" s="2">
        <v>20</v>
      </c>
      <c r="F39" s="6">
        <f>E39*D39</f>
        <v>40</v>
      </c>
    </row>
    <row r="40" spans="1:18" x14ac:dyDescent="0.25">
      <c r="A40" s="11"/>
      <c r="B40" s="10" t="s">
        <v>0</v>
      </c>
      <c r="C40" s="10" t="s">
        <v>28</v>
      </c>
      <c r="D40" s="10">
        <v>2</v>
      </c>
      <c r="E40" s="2">
        <v>20</v>
      </c>
      <c r="F40" s="6">
        <f t="shared" ref="F40:F43" si="2">E40*D40</f>
        <v>40</v>
      </c>
    </row>
    <row r="41" spans="1:18" x14ac:dyDescent="0.25">
      <c r="A41" s="11"/>
      <c r="B41" s="10" t="s">
        <v>1</v>
      </c>
      <c r="C41" s="10">
        <v>5</v>
      </c>
      <c r="D41" s="10">
        <v>2</v>
      </c>
      <c r="E41" s="2">
        <v>20</v>
      </c>
      <c r="F41" s="6">
        <f t="shared" si="2"/>
        <v>40</v>
      </c>
    </row>
    <row r="42" spans="1:18" x14ac:dyDescent="0.25">
      <c r="A42" s="11"/>
      <c r="B42" s="10" t="s">
        <v>15</v>
      </c>
      <c r="C42" s="10">
        <v>45</v>
      </c>
      <c r="D42" s="10">
        <v>2</v>
      </c>
      <c r="E42" s="2">
        <v>30</v>
      </c>
      <c r="F42" s="6">
        <f t="shared" si="2"/>
        <v>60</v>
      </c>
    </row>
    <row r="43" spans="1:18" x14ac:dyDescent="0.25">
      <c r="A43" s="11"/>
      <c r="B43" s="10" t="s">
        <v>20</v>
      </c>
      <c r="C43" s="10"/>
      <c r="D43" s="10">
        <v>4</v>
      </c>
      <c r="E43" s="2">
        <v>10</v>
      </c>
      <c r="F43" s="6">
        <f t="shared" si="2"/>
        <v>40</v>
      </c>
    </row>
    <row r="44" spans="1:18" x14ac:dyDescent="0.25">
      <c r="A44" s="11"/>
      <c r="B44" s="10"/>
      <c r="C44" s="10"/>
      <c r="D44" s="10"/>
      <c r="E44" s="2" t="s">
        <v>47</v>
      </c>
      <c r="F44" s="6">
        <f>SUM(F39:F43)</f>
        <v>220</v>
      </c>
    </row>
    <row r="45" spans="1:18" x14ac:dyDescent="0.25">
      <c r="A45" s="11"/>
      <c r="B45" s="10"/>
      <c r="C45" s="10"/>
      <c r="D45" s="10"/>
      <c r="E45" s="2"/>
      <c r="F45" s="6"/>
    </row>
    <row r="46" spans="1:18" ht="16.5" thickBot="1" x14ac:dyDescent="0.3">
      <c r="A46" s="13"/>
      <c r="B46" s="16"/>
      <c r="C46" s="16"/>
      <c r="D46" s="16"/>
      <c r="E46" s="19" t="s">
        <v>48</v>
      </c>
      <c r="F46" s="20">
        <f>F44/I25</f>
        <v>1</v>
      </c>
    </row>
  </sheetData>
  <mergeCells count="27">
    <mergeCell ref="H33:M33"/>
    <mergeCell ref="A38:F38"/>
    <mergeCell ref="A29:F29"/>
    <mergeCell ref="H19:I19"/>
    <mergeCell ref="B13:C13"/>
    <mergeCell ref="E13:F13"/>
    <mergeCell ref="H13:I13"/>
    <mergeCell ref="E14:F14"/>
    <mergeCell ref="H29:H32"/>
    <mergeCell ref="Q22:R22"/>
    <mergeCell ref="Q29:R29"/>
    <mergeCell ref="Q30:R30"/>
    <mergeCell ref="Q20:R20"/>
    <mergeCell ref="K5:L5"/>
    <mergeCell ref="N5:O5"/>
    <mergeCell ref="K13:L13"/>
    <mergeCell ref="E12:F12"/>
    <mergeCell ref="H12:I12"/>
    <mergeCell ref="K12:L12"/>
    <mergeCell ref="B2:O2"/>
    <mergeCell ref="Q21:R21"/>
    <mergeCell ref="A19:F19"/>
    <mergeCell ref="B5:C5"/>
    <mergeCell ref="E5:F5"/>
    <mergeCell ref="E6:F6"/>
    <mergeCell ref="H5:I5"/>
    <mergeCell ref="B12:C12"/>
  </mergeCells>
  <pageMargins left="0.25" right="0.25" top="0.75" bottom="0.75" header="0.3" footer="0.3"/>
  <pageSetup paperSize="9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KRA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Gagan</dc:creator>
  <cp:lastModifiedBy>Gagan</cp:lastModifiedBy>
  <cp:lastPrinted>2026-04-23T05:47:51Z</cp:lastPrinted>
  <dcterms:created xsi:type="dcterms:W3CDTF">2015-06-05T18:17:20Z</dcterms:created>
  <dcterms:modified xsi:type="dcterms:W3CDTF">2026-04-23T06:50:36Z</dcterms:modified>
</cp:coreProperties>
</file>