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90"/>
  </bookViews>
  <sheets>
    <sheet name="Monday" sheetId="4" r:id="rId1"/>
    <sheet name="Tuseday" sheetId="5" r:id="rId2"/>
    <sheet name="Wednesday" sheetId="8" r:id="rId3"/>
    <sheet name="Thursday" sheetId="9" r:id="rId4"/>
    <sheet name="Friday" sheetId="10" r:id="rId5"/>
    <sheet name="Saturday" sheetId="11" r:id="rId6"/>
  </sheets>
  <definedNames>
    <definedName name="_xlnm._FilterDatabase" localSheetId="0" hidden="1">Monday!$B$1:$F$1</definedName>
  </definedNames>
  <calcPr calcId="152511"/>
</workbook>
</file>

<file path=xl/calcChain.xml><?xml version="1.0" encoding="utf-8"?>
<calcChain xmlns="http://schemas.openxmlformats.org/spreadsheetml/2006/main">
  <c r="H3" i="11" l="1"/>
  <c r="H2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3" i="11"/>
  <c r="H4" i="8"/>
  <c r="H3" i="8"/>
  <c r="H2" i="8"/>
  <c r="H4" i="10"/>
  <c r="H3" i="10"/>
  <c r="H2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3" i="10"/>
  <c r="H4" i="9"/>
  <c r="H3" i="9"/>
  <c r="H2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3" i="9"/>
  <c r="A4" i="8"/>
  <c r="A5" i="8" s="1"/>
  <c r="A6" i="8" s="1"/>
  <c r="A7" i="8" s="1"/>
  <c r="A8" i="8" s="1"/>
  <c r="A9" i="8" s="1"/>
  <c r="A10" i="8" s="1"/>
  <c r="A11" i="8" s="1"/>
  <c r="A12" i="8" s="1"/>
  <c r="A3" i="8"/>
  <c r="H4" i="5"/>
  <c r="H3" i="5"/>
  <c r="H2" i="5"/>
  <c r="A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3" i="5"/>
  <c r="H4" i="4"/>
  <c r="H3" i="4"/>
  <c r="H2" i="4"/>
  <c r="A4" i="4"/>
  <c r="A5" i="4"/>
  <c r="A6" i="4" s="1"/>
  <c r="A7" i="4" s="1"/>
  <c r="A8" i="4" s="1"/>
  <c r="A9" i="4" s="1"/>
  <c r="A10" i="4" s="1"/>
  <c r="A11" i="4" s="1"/>
  <c r="A12" i="4" s="1"/>
  <c r="A13" i="4" s="1"/>
  <c r="A3" i="4"/>
</calcChain>
</file>

<file path=xl/sharedStrings.xml><?xml version="1.0" encoding="utf-8"?>
<sst xmlns="http://schemas.openxmlformats.org/spreadsheetml/2006/main" count="491" uniqueCount="118">
  <si>
    <t>Counter name</t>
  </si>
  <si>
    <t>Beat Area</t>
  </si>
  <si>
    <t>Class</t>
  </si>
  <si>
    <t>Monday</t>
  </si>
  <si>
    <t>Tarun Electrical</t>
  </si>
  <si>
    <t>Pachpedi naka</t>
  </si>
  <si>
    <t>Inactive</t>
  </si>
  <si>
    <t>B</t>
  </si>
  <si>
    <t>Bansi Hardware &amp; Electrical</t>
  </si>
  <si>
    <t>Lalpur</t>
  </si>
  <si>
    <t>A</t>
  </si>
  <si>
    <t>Spark electrical</t>
  </si>
  <si>
    <t>Bishwas Hardware &amp; electrical</t>
  </si>
  <si>
    <t>Manacamp</t>
  </si>
  <si>
    <t>Devpuri</t>
  </si>
  <si>
    <t>Active</t>
  </si>
  <si>
    <t>New Zee hardware and electrical</t>
  </si>
  <si>
    <t>Santoshi nagar</t>
  </si>
  <si>
    <t>Tuesday</t>
  </si>
  <si>
    <t>Shiv electrical</t>
  </si>
  <si>
    <t>Chhattisgarh hardware and electrical</t>
  </si>
  <si>
    <t>Sahu hardware</t>
  </si>
  <si>
    <t>Mohan enterprises</t>
  </si>
  <si>
    <t>Mangalam metallic</t>
  </si>
  <si>
    <t>City electrical</t>
  </si>
  <si>
    <t>Telibandha</t>
  </si>
  <si>
    <t>Wednesday</t>
  </si>
  <si>
    <t>Maa Sundrani electrical</t>
  </si>
  <si>
    <t>Deepak Sanitary &amp; hardware</t>
  </si>
  <si>
    <t>Jai Ambe slectrical</t>
  </si>
  <si>
    <t>C</t>
  </si>
  <si>
    <t>Rajesh Electrical</t>
  </si>
  <si>
    <t>Thursday</t>
  </si>
  <si>
    <t>Sahu electrical</t>
  </si>
  <si>
    <t>Prakash Electrical</t>
  </si>
  <si>
    <t>Shraddha electrical</t>
  </si>
  <si>
    <t>Akshay elctrical</t>
  </si>
  <si>
    <t>Friday</t>
  </si>
  <si>
    <t>Aditya Electrical</t>
  </si>
  <si>
    <t>Jai mata di electrical</t>
  </si>
  <si>
    <t>Anant Electrical</t>
  </si>
  <si>
    <t>Saturday</t>
  </si>
  <si>
    <t>lucky H/w and electricals</t>
  </si>
  <si>
    <t>Geeta H/w and electrical</t>
  </si>
  <si>
    <t>Vijay Electrical</t>
  </si>
  <si>
    <t>Pachpedi Naka</t>
  </si>
  <si>
    <t>Krishna Electrical</t>
  </si>
  <si>
    <t>Deopuri</t>
  </si>
  <si>
    <t>Mana Camp</t>
  </si>
  <si>
    <t>Satguru Electrical</t>
  </si>
  <si>
    <t>Jyoti Electrical</t>
  </si>
  <si>
    <t>Rk Electrical</t>
  </si>
  <si>
    <t>Shadani Darbar</t>
  </si>
  <si>
    <t>Raipur Trading</t>
  </si>
  <si>
    <t>Saksham Traders</t>
  </si>
  <si>
    <t xml:space="preserve">Anupam Electrical  </t>
  </si>
  <si>
    <t>Day</t>
  </si>
  <si>
    <t>Active / Inactive counter</t>
  </si>
  <si>
    <t>Active / Inactive Counter</t>
  </si>
  <si>
    <t>Counter Name</t>
  </si>
  <si>
    <t>Percentage</t>
  </si>
  <si>
    <t>S.No.</t>
  </si>
  <si>
    <t>Luckhie Traders</t>
  </si>
  <si>
    <t>Mittal Electrical</t>
  </si>
  <si>
    <t>Ram JI Electrical</t>
  </si>
  <si>
    <t>Himanshu Electrical</t>
  </si>
  <si>
    <t>Rainbow electrical</t>
  </si>
  <si>
    <t>Om electrical</t>
  </si>
  <si>
    <t>Ravi Electricals</t>
  </si>
  <si>
    <t>Surya Electricals</t>
  </si>
  <si>
    <t>Maa Enterprises</t>
  </si>
  <si>
    <t>Lucky Trading</t>
  </si>
  <si>
    <t>Jai Mata dii Hardware And Electrical</t>
  </si>
  <si>
    <t>Bundelkhand Electrical</t>
  </si>
  <si>
    <t>Devnani Electrical</t>
  </si>
  <si>
    <t>Lakhan Hardware And Electrical</t>
  </si>
  <si>
    <t xml:space="preserve">Amit Electrical </t>
  </si>
  <si>
    <t>S.No</t>
  </si>
  <si>
    <t>Girdhar electrical</t>
  </si>
  <si>
    <t>Bhatagaon</t>
  </si>
  <si>
    <t>Bhagirathi electrical</t>
  </si>
  <si>
    <t>Chandrashekhar Electrical</t>
  </si>
  <si>
    <t>Patel Electrical</t>
  </si>
  <si>
    <t>Shri Ram Electrical</t>
  </si>
  <si>
    <t>Patel Hardware</t>
  </si>
  <si>
    <t>Bharat Electrical</t>
  </si>
  <si>
    <t xml:space="preserve">Kushal Electrical </t>
  </si>
  <si>
    <t xml:space="preserve">Shri Sai furniture &amp; electronics  </t>
  </si>
  <si>
    <t>Shiv construction</t>
  </si>
  <si>
    <t>Shri Sainath Electrical</t>
  </si>
  <si>
    <t>Shree Mahakal electrical</t>
  </si>
  <si>
    <t xml:space="preserve"> Jay electrical</t>
  </si>
  <si>
    <t>Soni Electricals</t>
  </si>
  <si>
    <t>Swanayak Electrical</t>
  </si>
  <si>
    <t>CP Electrical</t>
  </si>
  <si>
    <t>Saddu Vidhan Sabha</t>
  </si>
  <si>
    <t>Arkia electrical</t>
  </si>
  <si>
    <t>Sonu electrical</t>
  </si>
  <si>
    <t>Shree Shyam Electrical</t>
  </si>
  <si>
    <t>Swastik Electrical</t>
  </si>
  <si>
    <t>Annpurna Trading</t>
  </si>
  <si>
    <t xml:space="preserve">Astha traders </t>
  </si>
  <si>
    <t>Shree Sai electrical</t>
  </si>
  <si>
    <t>Shiv Shakti Electricals</t>
  </si>
  <si>
    <t>Laxmi Agency</t>
  </si>
  <si>
    <t>Arihant H/W and Electrical</t>
  </si>
  <si>
    <t>Mahamaya H/w and Electricals</t>
  </si>
  <si>
    <t>Mahavir Electrical</t>
  </si>
  <si>
    <t>Gondwara/Bhanpuri</t>
  </si>
  <si>
    <t>Navdurga Electrical</t>
  </si>
  <si>
    <t>Patel Store</t>
  </si>
  <si>
    <t>Jain Electrical</t>
  </si>
  <si>
    <t>Kabir Electrical</t>
  </si>
  <si>
    <t>Shree Sai Paints And Electrical</t>
  </si>
  <si>
    <t xml:space="preserve">Bajrangi Electrical </t>
  </si>
  <si>
    <t>Ganesh Electrical</t>
  </si>
  <si>
    <t>Quality Electricals</t>
  </si>
  <si>
    <t>Sonu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</si>
</sst>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rgb="FF000000"/>
      <name val="Times New Roman"/>
      <family val="1"/>
    </font>
    <font>
      <b/>
      <sz val="10"/>
      <color rgb="FF0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9" fontId="3" fillId="0" borderId="1" xfId="0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9" fontId="0" fillId="0" borderId="1" xfId="0" applyNumberForma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I16" sqref="I16"/>
    </sheetView>
  </sheetViews>
  <sheetFormatPr defaultRowHeight="12.5" x14ac:dyDescent="0.3"/>
  <cols>
    <col min="1" max="1" width="8.796875" style="6"/>
    <col min="2" max="2" width="27.59765625" style="6" bestFit="1" customWidth="1"/>
    <col min="3" max="3" width="14.8984375" style="6" bestFit="1" customWidth="1"/>
    <col min="4" max="4" width="28.796875" style="6" bestFit="1" customWidth="1"/>
    <col min="5" max="5" width="10.5" style="6" bestFit="1" customWidth="1"/>
    <col min="6" max="6" width="13.296875" style="6" bestFit="1" customWidth="1"/>
    <col min="7" max="7" width="8.796875" style="6"/>
    <col min="8" max="8" width="11.19921875" style="6" bestFit="1" customWidth="1"/>
    <col min="9" max="16384" width="8.796875" style="6"/>
  </cols>
  <sheetData>
    <row r="1" spans="1:8" s="5" customFormat="1" x14ac:dyDescent="0.3">
      <c r="A1" s="7" t="s">
        <v>61</v>
      </c>
      <c r="B1" s="3" t="s">
        <v>59</v>
      </c>
      <c r="C1" s="3" t="s">
        <v>1</v>
      </c>
      <c r="D1" s="3" t="s">
        <v>58</v>
      </c>
      <c r="E1" s="3" t="s">
        <v>2</v>
      </c>
      <c r="F1" s="3" t="s">
        <v>56</v>
      </c>
      <c r="G1" s="7" t="s">
        <v>2</v>
      </c>
      <c r="H1" s="7" t="s">
        <v>60</v>
      </c>
    </row>
    <row r="2" spans="1:8" x14ac:dyDescent="0.3">
      <c r="A2" s="8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3</v>
      </c>
      <c r="G2" s="8" t="s">
        <v>10</v>
      </c>
      <c r="H2" s="9">
        <f>3/12</f>
        <v>0.25</v>
      </c>
    </row>
    <row r="3" spans="1:8" x14ac:dyDescent="0.3">
      <c r="A3" s="8">
        <f>A2+1</f>
        <v>2</v>
      </c>
      <c r="B3" s="2" t="s">
        <v>8</v>
      </c>
      <c r="C3" s="2" t="s">
        <v>9</v>
      </c>
      <c r="D3" s="2" t="s">
        <v>6</v>
      </c>
      <c r="E3" s="2" t="s">
        <v>10</v>
      </c>
      <c r="F3" s="2" t="s">
        <v>3</v>
      </c>
      <c r="G3" s="8" t="s">
        <v>7</v>
      </c>
      <c r="H3" s="9">
        <f>7/12</f>
        <v>0.58333333333333337</v>
      </c>
    </row>
    <row r="4" spans="1:8" x14ac:dyDescent="0.3">
      <c r="A4" s="8">
        <f t="shared" ref="A4:A13" si="0">A3+1</f>
        <v>3</v>
      </c>
      <c r="B4" s="2" t="s">
        <v>11</v>
      </c>
      <c r="C4" s="2" t="s">
        <v>9</v>
      </c>
      <c r="D4" s="2" t="s">
        <v>6</v>
      </c>
      <c r="E4" s="2" t="s">
        <v>10</v>
      </c>
      <c r="F4" s="2" t="s">
        <v>3</v>
      </c>
      <c r="G4" s="8" t="s">
        <v>30</v>
      </c>
      <c r="H4" s="9">
        <f>2/12</f>
        <v>0.16666666666666666</v>
      </c>
    </row>
    <row r="5" spans="1:8" x14ac:dyDescent="0.3">
      <c r="A5" s="8">
        <f t="shared" si="0"/>
        <v>4</v>
      </c>
      <c r="B5" s="2" t="s">
        <v>55</v>
      </c>
      <c r="C5" s="1" t="s">
        <v>47</v>
      </c>
      <c r="D5" s="2" t="s">
        <v>15</v>
      </c>
      <c r="E5" s="2" t="s">
        <v>7</v>
      </c>
      <c r="F5" s="2" t="s">
        <v>3</v>
      </c>
    </row>
    <row r="6" spans="1:8" x14ac:dyDescent="0.3">
      <c r="A6" s="8">
        <f t="shared" si="0"/>
        <v>5</v>
      </c>
      <c r="B6" s="2" t="s">
        <v>12</v>
      </c>
      <c r="C6" s="2" t="s">
        <v>13</v>
      </c>
      <c r="D6" s="2" t="s">
        <v>6</v>
      </c>
      <c r="E6" s="2" t="s">
        <v>7</v>
      </c>
      <c r="F6" s="2" t="s">
        <v>3</v>
      </c>
    </row>
    <row r="7" spans="1:8" x14ac:dyDescent="0.3">
      <c r="A7" s="8">
        <f t="shared" si="0"/>
        <v>6</v>
      </c>
      <c r="B7" s="2" t="s">
        <v>54</v>
      </c>
      <c r="C7" s="2" t="s">
        <v>14</v>
      </c>
      <c r="D7" s="2" t="s">
        <v>15</v>
      </c>
      <c r="E7" s="2" t="s">
        <v>7</v>
      </c>
      <c r="F7" s="2" t="s">
        <v>3</v>
      </c>
    </row>
    <row r="8" spans="1:8" x14ac:dyDescent="0.3">
      <c r="A8" s="8">
        <f t="shared" si="0"/>
        <v>7</v>
      </c>
      <c r="B8" s="1" t="s">
        <v>44</v>
      </c>
      <c r="C8" s="1" t="s">
        <v>45</v>
      </c>
      <c r="D8" s="1" t="s">
        <v>15</v>
      </c>
      <c r="E8" s="1" t="s">
        <v>7</v>
      </c>
      <c r="F8" s="1" t="s">
        <v>3</v>
      </c>
    </row>
    <row r="9" spans="1:8" x14ac:dyDescent="0.3">
      <c r="A9" s="8">
        <f t="shared" si="0"/>
        <v>8</v>
      </c>
      <c r="B9" s="1" t="s">
        <v>46</v>
      </c>
      <c r="C9" s="1" t="s">
        <v>47</v>
      </c>
      <c r="D9" s="1" t="s">
        <v>6</v>
      </c>
      <c r="E9" s="1" t="s">
        <v>7</v>
      </c>
      <c r="F9" s="1" t="s">
        <v>3</v>
      </c>
    </row>
    <row r="10" spans="1:8" x14ac:dyDescent="0.3">
      <c r="A10" s="8">
        <f t="shared" si="0"/>
        <v>9</v>
      </c>
      <c r="B10" s="1" t="s">
        <v>51</v>
      </c>
      <c r="C10" s="1" t="s">
        <v>48</v>
      </c>
      <c r="D10" s="1" t="s">
        <v>6</v>
      </c>
      <c r="E10" s="1" t="s">
        <v>10</v>
      </c>
      <c r="F10" s="1" t="s">
        <v>3</v>
      </c>
    </row>
    <row r="11" spans="1:8" x14ac:dyDescent="0.3">
      <c r="A11" s="8">
        <f t="shared" si="0"/>
        <v>10</v>
      </c>
      <c r="B11" s="1" t="s">
        <v>50</v>
      </c>
      <c r="C11" s="1" t="s">
        <v>48</v>
      </c>
      <c r="D11" s="1" t="s">
        <v>6</v>
      </c>
      <c r="E11" s="1" t="s">
        <v>30</v>
      </c>
      <c r="F11" s="1" t="s">
        <v>3</v>
      </c>
    </row>
    <row r="12" spans="1:8" x14ac:dyDescent="0.3">
      <c r="A12" s="8">
        <f t="shared" si="0"/>
        <v>11</v>
      </c>
      <c r="B12" s="1" t="s">
        <v>49</v>
      </c>
      <c r="C12" s="1" t="s">
        <v>52</v>
      </c>
      <c r="D12" s="1" t="s">
        <v>6</v>
      </c>
      <c r="E12" s="1" t="s">
        <v>30</v>
      </c>
      <c r="F12" s="1" t="s">
        <v>3</v>
      </c>
    </row>
    <row r="13" spans="1:8" x14ac:dyDescent="0.3">
      <c r="A13" s="8">
        <f t="shared" si="0"/>
        <v>12</v>
      </c>
      <c r="B13" s="1" t="s">
        <v>53</v>
      </c>
      <c r="C13" s="1" t="s">
        <v>48</v>
      </c>
      <c r="D13" s="1" t="s">
        <v>6</v>
      </c>
      <c r="E13" s="1" t="s">
        <v>7</v>
      </c>
      <c r="F13" s="1" t="s">
        <v>3</v>
      </c>
    </row>
  </sheetData>
  <autoFilter ref="B1:F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G1" sqref="G1:H4"/>
    </sheetView>
  </sheetViews>
  <sheetFormatPr defaultRowHeight="13" x14ac:dyDescent="0.3"/>
  <cols>
    <col min="1" max="1" width="5.3984375" style="10" bestFit="1" customWidth="1"/>
    <col min="2" max="2" width="33.09765625" style="10" bestFit="1" customWidth="1"/>
    <col min="3" max="3" width="13.796875" style="10" bestFit="1" customWidth="1"/>
    <col min="4" max="4" width="23.796875" style="10" bestFit="1" customWidth="1"/>
    <col min="5" max="5" width="5.5" style="10" bestFit="1" customWidth="1"/>
    <col min="6" max="6" width="8.19921875" style="10" bestFit="1" customWidth="1"/>
    <col min="7" max="7" width="5.5" style="10" customWidth="1"/>
    <col min="8" max="8" width="11.19921875" style="10" bestFit="1" customWidth="1"/>
    <col min="9" max="16384" width="8.796875" style="10"/>
  </cols>
  <sheetData>
    <row r="1" spans="1:8" x14ac:dyDescent="0.3">
      <c r="A1" s="7" t="s">
        <v>61</v>
      </c>
      <c r="B1" s="3" t="s">
        <v>59</v>
      </c>
      <c r="C1" s="3" t="s">
        <v>1</v>
      </c>
      <c r="D1" s="3" t="s">
        <v>58</v>
      </c>
      <c r="E1" s="3" t="s">
        <v>2</v>
      </c>
      <c r="F1" s="3" t="s">
        <v>56</v>
      </c>
      <c r="G1" s="7" t="s">
        <v>2</v>
      </c>
      <c r="H1" s="7" t="s">
        <v>60</v>
      </c>
    </row>
    <row r="2" spans="1:8" x14ac:dyDescent="0.3">
      <c r="A2" s="12">
        <v>1</v>
      </c>
      <c r="B2" s="2" t="s">
        <v>16</v>
      </c>
      <c r="C2" s="2" t="s">
        <v>17</v>
      </c>
      <c r="D2" s="2" t="s">
        <v>6</v>
      </c>
      <c r="E2" s="2" t="s">
        <v>7</v>
      </c>
      <c r="F2" s="2" t="s">
        <v>18</v>
      </c>
      <c r="G2" s="11" t="s">
        <v>10</v>
      </c>
      <c r="H2" s="13">
        <f>6/14</f>
        <v>0.42857142857142855</v>
      </c>
    </row>
    <row r="3" spans="1:8" x14ac:dyDescent="0.3">
      <c r="A3" s="12">
        <f>A2+1</f>
        <v>2</v>
      </c>
      <c r="B3" s="2" t="s">
        <v>19</v>
      </c>
      <c r="C3" s="2" t="s">
        <v>17</v>
      </c>
      <c r="D3" s="2" t="s">
        <v>6</v>
      </c>
      <c r="E3" s="2" t="s">
        <v>10</v>
      </c>
      <c r="F3" s="2" t="s">
        <v>18</v>
      </c>
      <c r="G3" s="11" t="s">
        <v>7</v>
      </c>
      <c r="H3" s="13">
        <f t="shared" ref="H3:H4" si="0">6/14</f>
        <v>0.42857142857142855</v>
      </c>
    </row>
    <row r="4" spans="1:8" x14ac:dyDescent="0.3">
      <c r="A4" s="12">
        <f t="shared" ref="A4:A15" si="1">A3+1</f>
        <v>3</v>
      </c>
      <c r="B4" s="2" t="s">
        <v>20</v>
      </c>
      <c r="C4" s="2" t="s">
        <v>17</v>
      </c>
      <c r="D4" s="2" t="s">
        <v>6</v>
      </c>
      <c r="E4" s="2" t="s">
        <v>30</v>
      </c>
      <c r="F4" s="2" t="s">
        <v>18</v>
      </c>
      <c r="G4" s="11" t="s">
        <v>30</v>
      </c>
      <c r="H4" s="13">
        <f>2/14</f>
        <v>0.14285714285714285</v>
      </c>
    </row>
    <row r="5" spans="1:8" x14ac:dyDescent="0.3">
      <c r="A5" s="12">
        <f t="shared" si="1"/>
        <v>4</v>
      </c>
      <c r="B5" s="2" t="s">
        <v>21</v>
      </c>
      <c r="C5" s="2" t="s">
        <v>17</v>
      </c>
      <c r="D5" s="2" t="s">
        <v>6</v>
      </c>
      <c r="E5" s="2" t="s">
        <v>7</v>
      </c>
      <c r="F5" s="2" t="s">
        <v>18</v>
      </c>
    </row>
    <row r="6" spans="1:8" x14ac:dyDescent="0.3">
      <c r="A6" s="12">
        <f t="shared" si="1"/>
        <v>5</v>
      </c>
      <c r="B6" s="2" t="s">
        <v>67</v>
      </c>
      <c r="C6" s="2" t="s">
        <v>17</v>
      </c>
      <c r="D6" s="2" t="s">
        <v>6</v>
      </c>
      <c r="E6" s="2" t="s">
        <v>10</v>
      </c>
      <c r="F6" s="2" t="s">
        <v>18</v>
      </c>
    </row>
    <row r="7" spans="1:8" x14ac:dyDescent="0.3">
      <c r="A7" s="12">
        <f t="shared" si="1"/>
        <v>6</v>
      </c>
      <c r="B7" s="2" t="s">
        <v>22</v>
      </c>
      <c r="C7" s="2" t="s">
        <v>17</v>
      </c>
      <c r="D7" s="2" t="s">
        <v>6</v>
      </c>
      <c r="E7" s="2" t="s">
        <v>10</v>
      </c>
      <c r="F7" s="2" t="s">
        <v>18</v>
      </c>
    </row>
    <row r="8" spans="1:8" x14ac:dyDescent="0.3">
      <c r="A8" s="12">
        <f t="shared" si="1"/>
        <v>7</v>
      </c>
      <c r="B8" s="2" t="s">
        <v>23</v>
      </c>
      <c r="C8" s="2" t="s">
        <v>17</v>
      </c>
      <c r="D8" s="2" t="s">
        <v>6</v>
      </c>
      <c r="E8" s="2" t="s">
        <v>7</v>
      </c>
      <c r="F8" s="2" t="s">
        <v>18</v>
      </c>
    </row>
    <row r="9" spans="1:8" x14ac:dyDescent="0.3">
      <c r="A9" s="12">
        <f t="shared" si="1"/>
        <v>8</v>
      </c>
      <c r="B9" s="1" t="s">
        <v>64</v>
      </c>
      <c r="C9" s="2" t="s">
        <v>17</v>
      </c>
      <c r="D9" s="2" t="s">
        <v>6</v>
      </c>
      <c r="E9" s="1" t="s">
        <v>10</v>
      </c>
      <c r="F9" s="2" t="s">
        <v>18</v>
      </c>
    </row>
    <row r="10" spans="1:8" x14ac:dyDescent="0.3">
      <c r="A10" s="12">
        <f t="shared" si="1"/>
        <v>9</v>
      </c>
      <c r="B10" s="1" t="s">
        <v>62</v>
      </c>
      <c r="C10" s="2" t="s">
        <v>17</v>
      </c>
      <c r="D10" s="2" t="s">
        <v>6</v>
      </c>
      <c r="E10" s="1" t="s">
        <v>10</v>
      </c>
      <c r="F10" s="2" t="s">
        <v>18</v>
      </c>
    </row>
    <row r="11" spans="1:8" x14ac:dyDescent="0.3">
      <c r="A11" s="12">
        <f t="shared" si="1"/>
        <v>10</v>
      </c>
      <c r="B11" s="1" t="s">
        <v>63</v>
      </c>
      <c r="C11" s="2" t="s">
        <v>17</v>
      </c>
      <c r="D11" s="2" t="s">
        <v>6</v>
      </c>
      <c r="E11" s="1" t="s">
        <v>30</v>
      </c>
      <c r="F11" s="2" t="s">
        <v>18</v>
      </c>
    </row>
    <row r="12" spans="1:8" x14ac:dyDescent="0.3">
      <c r="A12" s="12">
        <f t="shared" si="1"/>
        <v>11</v>
      </c>
      <c r="B12" s="1" t="s">
        <v>65</v>
      </c>
      <c r="C12" s="2" t="s">
        <v>17</v>
      </c>
      <c r="D12" s="2" t="s">
        <v>6</v>
      </c>
      <c r="E12" s="2" t="s">
        <v>7</v>
      </c>
      <c r="F12" s="2" t="s">
        <v>18</v>
      </c>
    </row>
    <row r="13" spans="1:8" x14ac:dyDescent="0.3">
      <c r="A13" s="12">
        <f t="shared" si="1"/>
        <v>12</v>
      </c>
      <c r="B13" s="1" t="s">
        <v>66</v>
      </c>
      <c r="C13" s="2" t="s">
        <v>17</v>
      </c>
      <c r="D13" s="2" t="s">
        <v>6</v>
      </c>
      <c r="E13" s="2" t="s">
        <v>7</v>
      </c>
      <c r="F13" s="2" t="s">
        <v>18</v>
      </c>
    </row>
    <row r="14" spans="1:8" x14ac:dyDescent="0.3">
      <c r="A14" s="12">
        <f t="shared" si="1"/>
        <v>13</v>
      </c>
      <c r="B14" s="1" t="s">
        <v>68</v>
      </c>
      <c r="C14" s="2" t="s">
        <v>17</v>
      </c>
      <c r="D14" s="2" t="s">
        <v>15</v>
      </c>
      <c r="E14" s="2" t="s">
        <v>10</v>
      </c>
      <c r="F14" s="2" t="s">
        <v>18</v>
      </c>
    </row>
    <row r="15" spans="1:8" x14ac:dyDescent="0.3">
      <c r="A15" s="12">
        <f t="shared" si="1"/>
        <v>14</v>
      </c>
      <c r="B15" s="1" t="s">
        <v>69</v>
      </c>
      <c r="C15" s="2" t="s">
        <v>17</v>
      </c>
      <c r="D15" s="2" t="s">
        <v>6</v>
      </c>
      <c r="E15" s="2" t="s">
        <v>7</v>
      </c>
      <c r="F15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H5" sqref="H5"/>
    </sheetView>
  </sheetViews>
  <sheetFormatPr defaultRowHeight="13" x14ac:dyDescent="0.3"/>
  <cols>
    <col min="1" max="1" width="8.796875" style="10"/>
    <col min="2" max="2" width="32.296875" style="10" bestFit="1" customWidth="1"/>
    <col min="3" max="3" width="10.59765625" style="10" bestFit="1" customWidth="1"/>
    <col min="4" max="4" width="23.59765625" style="10" bestFit="1" customWidth="1"/>
    <col min="5" max="5" width="5.296875" style="10" bestFit="1" customWidth="1"/>
    <col min="6" max="6" width="10.8984375" style="10" bestFit="1" customWidth="1"/>
    <col min="7" max="7" width="8.796875" style="10"/>
    <col min="8" max="8" width="11.19921875" style="10" bestFit="1" customWidth="1"/>
    <col min="9" max="16384" width="8.796875" style="10"/>
  </cols>
  <sheetData>
    <row r="1" spans="1:8" x14ac:dyDescent="0.3">
      <c r="A1" s="14" t="s">
        <v>77</v>
      </c>
      <c r="B1" s="3" t="s">
        <v>0</v>
      </c>
      <c r="C1" s="3" t="s">
        <v>1</v>
      </c>
      <c r="D1" s="3" t="s">
        <v>58</v>
      </c>
      <c r="E1" s="3" t="s">
        <v>2</v>
      </c>
      <c r="F1" s="3" t="s">
        <v>56</v>
      </c>
      <c r="G1" s="7" t="s">
        <v>2</v>
      </c>
      <c r="H1" s="7" t="s">
        <v>60</v>
      </c>
    </row>
    <row r="2" spans="1:8" x14ac:dyDescent="0.3">
      <c r="A2" s="12">
        <v>1</v>
      </c>
      <c r="B2" s="2" t="s">
        <v>70</v>
      </c>
      <c r="C2" s="2" t="s">
        <v>25</v>
      </c>
      <c r="D2" s="2" t="s">
        <v>15</v>
      </c>
      <c r="E2" s="2" t="s">
        <v>30</v>
      </c>
      <c r="F2" s="2" t="s">
        <v>26</v>
      </c>
      <c r="G2" s="11" t="s">
        <v>10</v>
      </c>
      <c r="H2" s="13">
        <f>2/13</f>
        <v>0.15384615384615385</v>
      </c>
    </row>
    <row r="3" spans="1:8" x14ac:dyDescent="0.3">
      <c r="A3" s="12">
        <f>A2+1</f>
        <v>2</v>
      </c>
      <c r="B3" s="2" t="s">
        <v>24</v>
      </c>
      <c r="C3" s="2" t="s">
        <v>25</v>
      </c>
      <c r="D3" s="2" t="s">
        <v>6</v>
      </c>
      <c r="E3" s="2" t="s">
        <v>7</v>
      </c>
      <c r="F3" s="2" t="s">
        <v>26</v>
      </c>
      <c r="G3" s="11" t="s">
        <v>7</v>
      </c>
      <c r="H3" s="13">
        <f>8/13</f>
        <v>0.61538461538461542</v>
      </c>
    </row>
    <row r="4" spans="1:8" x14ac:dyDescent="0.3">
      <c r="A4" s="12">
        <f t="shared" ref="A4:A12" si="0">A3+1</f>
        <v>3</v>
      </c>
      <c r="B4" s="2" t="s">
        <v>27</v>
      </c>
      <c r="C4" s="2" t="s">
        <v>25</v>
      </c>
      <c r="D4" s="2" t="s">
        <v>6</v>
      </c>
      <c r="E4" s="2" t="s">
        <v>10</v>
      </c>
      <c r="F4" s="2" t="s">
        <v>26</v>
      </c>
      <c r="G4" s="11" t="s">
        <v>30</v>
      </c>
      <c r="H4" s="13">
        <f>3/13</f>
        <v>0.23076923076923078</v>
      </c>
    </row>
    <row r="5" spans="1:8" x14ac:dyDescent="0.3">
      <c r="A5" s="12">
        <f t="shared" si="0"/>
        <v>4</v>
      </c>
      <c r="B5" s="2" t="s">
        <v>76</v>
      </c>
      <c r="C5" s="2" t="s">
        <v>25</v>
      </c>
      <c r="D5" s="2" t="s">
        <v>6</v>
      </c>
      <c r="E5" s="2" t="s">
        <v>7</v>
      </c>
      <c r="F5" s="2" t="s">
        <v>26</v>
      </c>
    </row>
    <row r="6" spans="1:8" x14ac:dyDescent="0.3">
      <c r="A6" s="12">
        <f t="shared" si="0"/>
        <v>5</v>
      </c>
      <c r="B6" s="2" t="s">
        <v>28</v>
      </c>
      <c r="C6" s="2" t="s">
        <v>25</v>
      </c>
      <c r="D6" s="2" t="s">
        <v>15</v>
      </c>
      <c r="E6" s="2" t="s">
        <v>7</v>
      </c>
      <c r="F6" s="2" t="s">
        <v>26</v>
      </c>
    </row>
    <row r="7" spans="1:8" x14ac:dyDescent="0.3">
      <c r="A7" s="12">
        <f t="shared" si="0"/>
        <v>6</v>
      </c>
      <c r="B7" s="2" t="s">
        <v>29</v>
      </c>
      <c r="C7" s="2" t="s">
        <v>25</v>
      </c>
      <c r="D7" s="2" t="s">
        <v>15</v>
      </c>
      <c r="E7" s="2" t="s">
        <v>7</v>
      </c>
      <c r="F7" s="2" t="s">
        <v>26</v>
      </c>
    </row>
    <row r="8" spans="1:8" x14ac:dyDescent="0.3">
      <c r="A8" s="12">
        <f t="shared" si="0"/>
        <v>7</v>
      </c>
      <c r="B8" s="2" t="s">
        <v>73</v>
      </c>
      <c r="C8" s="2" t="s">
        <v>25</v>
      </c>
      <c r="D8" s="2" t="s">
        <v>15</v>
      </c>
      <c r="E8" s="2" t="s">
        <v>30</v>
      </c>
      <c r="F8" s="2" t="s">
        <v>26</v>
      </c>
    </row>
    <row r="9" spans="1:8" x14ac:dyDescent="0.3">
      <c r="A9" s="12">
        <f t="shared" si="0"/>
        <v>8</v>
      </c>
      <c r="B9" s="2" t="s">
        <v>74</v>
      </c>
      <c r="C9" s="2" t="s">
        <v>25</v>
      </c>
      <c r="D9" s="2" t="s">
        <v>15</v>
      </c>
      <c r="E9" s="2" t="s">
        <v>10</v>
      </c>
      <c r="F9" s="2" t="s">
        <v>26</v>
      </c>
    </row>
    <row r="10" spans="1:8" x14ac:dyDescent="0.3">
      <c r="A10" s="12">
        <f t="shared" si="0"/>
        <v>9</v>
      </c>
      <c r="B10" s="1" t="s">
        <v>71</v>
      </c>
      <c r="C10" s="2" t="s">
        <v>25</v>
      </c>
      <c r="D10" s="1" t="s">
        <v>6</v>
      </c>
      <c r="E10" s="1" t="s">
        <v>30</v>
      </c>
      <c r="F10" s="2" t="s">
        <v>26</v>
      </c>
    </row>
    <row r="11" spans="1:8" x14ac:dyDescent="0.3">
      <c r="A11" s="12">
        <f t="shared" si="0"/>
        <v>10</v>
      </c>
      <c r="B11" s="1" t="s">
        <v>72</v>
      </c>
      <c r="C11" s="2" t="s">
        <v>25</v>
      </c>
      <c r="D11" s="1" t="s">
        <v>6</v>
      </c>
      <c r="E11" s="1" t="s">
        <v>7</v>
      </c>
      <c r="F11" s="2" t="s">
        <v>26</v>
      </c>
    </row>
    <row r="12" spans="1:8" x14ac:dyDescent="0.3">
      <c r="A12" s="12">
        <f t="shared" si="0"/>
        <v>11</v>
      </c>
      <c r="B12" s="1" t="s">
        <v>75</v>
      </c>
      <c r="C12" s="2" t="s">
        <v>25</v>
      </c>
      <c r="D12" s="1" t="s">
        <v>15</v>
      </c>
      <c r="E12" s="1" t="s">
        <v>7</v>
      </c>
      <c r="F12" s="2" t="s">
        <v>26</v>
      </c>
    </row>
    <row r="13" spans="1:8" s="6" customFormat="1" ht="12.5" x14ac:dyDescent="0.3">
      <c r="A13" s="8">
        <v>12</v>
      </c>
      <c r="B13" s="8" t="s">
        <v>103</v>
      </c>
      <c r="C13" s="8" t="s">
        <v>25</v>
      </c>
      <c r="D13" s="1" t="s">
        <v>6</v>
      </c>
      <c r="E13" s="1" t="s">
        <v>7</v>
      </c>
      <c r="F13" s="2" t="s">
        <v>26</v>
      </c>
    </row>
    <row r="14" spans="1:8" s="6" customFormat="1" ht="12.5" x14ac:dyDescent="0.3">
      <c r="A14" s="8">
        <v>13</v>
      </c>
      <c r="B14" s="8" t="s">
        <v>104</v>
      </c>
      <c r="C14" s="8" t="s">
        <v>25</v>
      </c>
      <c r="D14" s="1" t="s">
        <v>6</v>
      </c>
      <c r="E14" s="1" t="s">
        <v>7</v>
      </c>
      <c r="F14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1" sqref="G1:H4"/>
    </sheetView>
  </sheetViews>
  <sheetFormatPr defaultRowHeight="13" x14ac:dyDescent="0.3"/>
  <cols>
    <col min="1" max="1" width="8.796875" style="10"/>
    <col min="2" max="2" width="28.5" style="10" bestFit="1" customWidth="1"/>
    <col min="3" max="3" width="10.09765625" style="10" bestFit="1" customWidth="1"/>
    <col min="4" max="4" width="23.59765625" style="10" bestFit="1" customWidth="1"/>
    <col min="5" max="5" width="5.296875" style="10" bestFit="1" customWidth="1"/>
    <col min="6" max="6" width="9.09765625" style="10" bestFit="1" customWidth="1"/>
    <col min="7" max="7" width="8.796875" style="10"/>
    <col min="8" max="8" width="11.19921875" style="10" bestFit="1" customWidth="1"/>
    <col min="9" max="16384" width="8.796875" style="10"/>
  </cols>
  <sheetData>
    <row r="1" spans="1:8" x14ac:dyDescent="0.3">
      <c r="A1" s="14" t="s">
        <v>77</v>
      </c>
      <c r="B1" s="3" t="s">
        <v>0</v>
      </c>
      <c r="C1" s="3" t="s">
        <v>1</v>
      </c>
      <c r="D1" s="3" t="s">
        <v>58</v>
      </c>
      <c r="E1" s="3" t="s">
        <v>2</v>
      </c>
      <c r="F1" s="3" t="s">
        <v>56</v>
      </c>
      <c r="G1" s="7" t="s">
        <v>2</v>
      </c>
      <c r="H1" s="7" t="s">
        <v>60</v>
      </c>
    </row>
    <row r="2" spans="1:8" x14ac:dyDescent="0.3">
      <c r="A2" s="12">
        <v>1</v>
      </c>
      <c r="B2" s="2" t="s">
        <v>88</v>
      </c>
      <c r="C2" s="2" t="s">
        <v>79</v>
      </c>
      <c r="D2" s="2" t="s">
        <v>6</v>
      </c>
      <c r="E2" s="2" t="s">
        <v>30</v>
      </c>
      <c r="F2" s="2" t="s">
        <v>32</v>
      </c>
      <c r="G2" s="11" t="s">
        <v>10</v>
      </c>
      <c r="H2" s="13">
        <f>2/16</f>
        <v>0.125</v>
      </c>
    </row>
    <row r="3" spans="1:8" x14ac:dyDescent="0.3">
      <c r="A3" s="12">
        <f>A2+1</f>
        <v>2</v>
      </c>
      <c r="B3" s="2" t="s">
        <v>31</v>
      </c>
      <c r="C3" s="2" t="s">
        <v>79</v>
      </c>
      <c r="D3" s="2" t="s">
        <v>6</v>
      </c>
      <c r="E3" s="2" t="s">
        <v>7</v>
      </c>
      <c r="F3" s="2" t="s">
        <v>32</v>
      </c>
      <c r="G3" s="11" t="s">
        <v>7</v>
      </c>
      <c r="H3" s="13">
        <f>13/16</f>
        <v>0.8125</v>
      </c>
    </row>
    <row r="4" spans="1:8" x14ac:dyDescent="0.3">
      <c r="A4" s="12">
        <f t="shared" ref="A4:A17" si="0">A3+1</f>
        <v>3</v>
      </c>
      <c r="B4" s="2" t="s">
        <v>33</v>
      </c>
      <c r="C4" s="2" t="s">
        <v>79</v>
      </c>
      <c r="D4" s="2" t="s">
        <v>6</v>
      </c>
      <c r="E4" s="2" t="s">
        <v>7</v>
      </c>
      <c r="F4" s="2" t="s">
        <v>32</v>
      </c>
      <c r="G4" s="11" t="s">
        <v>30</v>
      </c>
      <c r="H4" s="13">
        <f>1/16</f>
        <v>6.25E-2</v>
      </c>
    </row>
    <row r="5" spans="1:8" x14ac:dyDescent="0.3">
      <c r="A5" s="12">
        <f t="shared" si="0"/>
        <v>4</v>
      </c>
      <c r="B5" s="2" t="s">
        <v>34</v>
      </c>
      <c r="C5" s="2" t="s">
        <v>79</v>
      </c>
      <c r="D5" s="2" t="s">
        <v>15</v>
      </c>
      <c r="E5" s="2" t="s">
        <v>7</v>
      </c>
      <c r="F5" s="2" t="s">
        <v>32</v>
      </c>
    </row>
    <row r="6" spans="1:8" x14ac:dyDescent="0.3">
      <c r="A6" s="12">
        <f t="shared" si="0"/>
        <v>5</v>
      </c>
      <c r="B6" s="2" t="s">
        <v>87</v>
      </c>
      <c r="C6" s="2" t="s">
        <v>79</v>
      </c>
      <c r="D6" s="2" t="s">
        <v>15</v>
      </c>
      <c r="E6" s="2" t="s">
        <v>7</v>
      </c>
      <c r="F6" s="2" t="s">
        <v>32</v>
      </c>
    </row>
    <row r="7" spans="1:8" x14ac:dyDescent="0.3">
      <c r="A7" s="12">
        <f t="shared" si="0"/>
        <v>6</v>
      </c>
      <c r="B7" s="2" t="s">
        <v>89</v>
      </c>
      <c r="C7" s="2" t="s">
        <v>79</v>
      </c>
      <c r="D7" s="2" t="s">
        <v>6</v>
      </c>
      <c r="E7" s="2" t="s">
        <v>7</v>
      </c>
      <c r="F7" s="2" t="s">
        <v>32</v>
      </c>
    </row>
    <row r="8" spans="1:8" x14ac:dyDescent="0.3">
      <c r="A8" s="12">
        <f t="shared" si="0"/>
        <v>7</v>
      </c>
      <c r="B8" s="2" t="s">
        <v>35</v>
      </c>
      <c r="C8" s="2" t="s">
        <v>79</v>
      </c>
      <c r="D8" s="2" t="s">
        <v>6</v>
      </c>
      <c r="E8" s="2" t="s">
        <v>7</v>
      </c>
      <c r="F8" s="2" t="s">
        <v>32</v>
      </c>
    </row>
    <row r="9" spans="1:8" x14ac:dyDescent="0.3">
      <c r="A9" s="12">
        <f t="shared" si="0"/>
        <v>8</v>
      </c>
      <c r="B9" s="2" t="s">
        <v>86</v>
      </c>
      <c r="C9" s="2" t="s">
        <v>79</v>
      </c>
      <c r="D9" s="2" t="s">
        <v>6</v>
      </c>
      <c r="E9" s="2" t="s">
        <v>10</v>
      </c>
      <c r="F9" s="2" t="s">
        <v>32</v>
      </c>
    </row>
    <row r="10" spans="1:8" x14ac:dyDescent="0.3">
      <c r="A10" s="12">
        <f t="shared" si="0"/>
        <v>9</v>
      </c>
      <c r="B10" s="1" t="s">
        <v>78</v>
      </c>
      <c r="C10" s="2" t="s">
        <v>79</v>
      </c>
      <c r="D10" s="2" t="s">
        <v>6</v>
      </c>
      <c r="E10" s="2" t="s">
        <v>7</v>
      </c>
      <c r="F10" s="2" t="s">
        <v>32</v>
      </c>
    </row>
    <row r="11" spans="1:8" x14ac:dyDescent="0.3">
      <c r="A11" s="12">
        <f t="shared" si="0"/>
        <v>10</v>
      </c>
      <c r="B11" s="1" t="s">
        <v>65</v>
      </c>
      <c r="C11" s="2" t="s">
        <v>79</v>
      </c>
      <c r="D11" s="2" t="s">
        <v>6</v>
      </c>
      <c r="E11" s="2" t="s">
        <v>10</v>
      </c>
      <c r="F11" s="2" t="s">
        <v>32</v>
      </c>
    </row>
    <row r="12" spans="1:8" x14ac:dyDescent="0.3">
      <c r="A12" s="12">
        <f t="shared" si="0"/>
        <v>11</v>
      </c>
      <c r="B12" s="1" t="s">
        <v>80</v>
      </c>
      <c r="C12" s="2" t="s">
        <v>79</v>
      </c>
      <c r="D12" s="2" t="s">
        <v>6</v>
      </c>
      <c r="E12" s="2" t="s">
        <v>7</v>
      </c>
      <c r="F12" s="2" t="s">
        <v>32</v>
      </c>
    </row>
    <row r="13" spans="1:8" x14ac:dyDescent="0.3">
      <c r="A13" s="12">
        <f t="shared" si="0"/>
        <v>12</v>
      </c>
      <c r="B13" s="1" t="s">
        <v>81</v>
      </c>
      <c r="C13" s="2" t="s">
        <v>79</v>
      </c>
      <c r="D13" s="2" t="s">
        <v>6</v>
      </c>
      <c r="E13" s="2" t="s">
        <v>7</v>
      </c>
      <c r="F13" s="2" t="s">
        <v>32</v>
      </c>
    </row>
    <row r="14" spans="1:8" x14ac:dyDescent="0.3">
      <c r="A14" s="12">
        <f t="shared" si="0"/>
        <v>13</v>
      </c>
      <c r="B14" s="1" t="s">
        <v>82</v>
      </c>
      <c r="C14" s="2" t="s">
        <v>79</v>
      </c>
      <c r="D14" s="2" t="s">
        <v>6</v>
      </c>
      <c r="E14" s="2" t="s">
        <v>7</v>
      </c>
      <c r="F14" s="2" t="s">
        <v>32</v>
      </c>
    </row>
    <row r="15" spans="1:8" x14ac:dyDescent="0.3">
      <c r="A15" s="12">
        <f t="shared" si="0"/>
        <v>14</v>
      </c>
      <c r="B15" s="1" t="s">
        <v>83</v>
      </c>
      <c r="C15" s="2" t="s">
        <v>79</v>
      </c>
      <c r="D15" s="2" t="s">
        <v>6</v>
      </c>
      <c r="E15" s="2" t="s">
        <v>7</v>
      </c>
      <c r="F15" s="2" t="s">
        <v>32</v>
      </c>
    </row>
    <row r="16" spans="1:8" x14ac:dyDescent="0.3">
      <c r="A16" s="12">
        <f t="shared" si="0"/>
        <v>15</v>
      </c>
      <c r="B16" s="1" t="s">
        <v>84</v>
      </c>
      <c r="C16" s="2" t="s">
        <v>79</v>
      </c>
      <c r="D16" s="2" t="s">
        <v>6</v>
      </c>
      <c r="E16" s="2" t="s">
        <v>7</v>
      </c>
      <c r="F16" s="2" t="s">
        <v>32</v>
      </c>
    </row>
    <row r="17" spans="1:6" x14ac:dyDescent="0.3">
      <c r="A17" s="12">
        <f t="shared" si="0"/>
        <v>16</v>
      </c>
      <c r="B17" s="1" t="s">
        <v>85</v>
      </c>
      <c r="C17" s="2" t="s">
        <v>79</v>
      </c>
      <c r="D17" s="2" t="s">
        <v>6</v>
      </c>
      <c r="E17" s="2" t="s">
        <v>7</v>
      </c>
      <c r="F17" s="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" sqref="G1:H4"/>
    </sheetView>
  </sheetViews>
  <sheetFormatPr defaultRowHeight="13" x14ac:dyDescent="0.3"/>
  <cols>
    <col min="2" max="2" width="22" bestFit="1" customWidth="1"/>
    <col min="3" max="3" width="18.5" bestFit="1" customWidth="1"/>
    <col min="4" max="4" width="22.3984375" bestFit="1" customWidth="1"/>
    <col min="5" max="5" width="5.296875" bestFit="1" customWidth="1"/>
    <col min="6" max="6" width="7.796875" bestFit="1" customWidth="1"/>
    <col min="8" max="8" width="11.19921875" bestFit="1" customWidth="1"/>
  </cols>
  <sheetData>
    <row r="1" spans="1:8" s="4" customFormat="1" x14ac:dyDescent="0.3">
      <c r="A1" s="14" t="s">
        <v>77</v>
      </c>
      <c r="B1" s="3" t="s">
        <v>0</v>
      </c>
      <c r="C1" s="3" t="s">
        <v>1</v>
      </c>
      <c r="D1" s="3" t="s">
        <v>57</v>
      </c>
      <c r="E1" s="3" t="s">
        <v>2</v>
      </c>
      <c r="F1" s="3" t="s">
        <v>56</v>
      </c>
      <c r="G1" s="7" t="s">
        <v>2</v>
      </c>
      <c r="H1" s="7" t="s">
        <v>60</v>
      </c>
    </row>
    <row r="2" spans="1:8" x14ac:dyDescent="0.3">
      <c r="A2" s="12">
        <v>1</v>
      </c>
      <c r="B2" s="2" t="s">
        <v>36</v>
      </c>
      <c r="C2" s="2" t="s">
        <v>95</v>
      </c>
      <c r="D2" s="2" t="s">
        <v>6</v>
      </c>
      <c r="E2" s="2" t="s">
        <v>7</v>
      </c>
      <c r="F2" s="2" t="s">
        <v>37</v>
      </c>
      <c r="G2" s="11" t="s">
        <v>10</v>
      </c>
      <c r="H2" s="13">
        <f>4/15</f>
        <v>0.26666666666666666</v>
      </c>
    </row>
    <row r="3" spans="1:8" x14ac:dyDescent="0.3">
      <c r="A3" s="12">
        <f>A2+1</f>
        <v>2</v>
      </c>
      <c r="B3" s="2" t="s">
        <v>97</v>
      </c>
      <c r="C3" s="2" t="s">
        <v>95</v>
      </c>
      <c r="D3" s="2" t="s">
        <v>6</v>
      </c>
      <c r="E3" s="2" t="s">
        <v>30</v>
      </c>
      <c r="F3" s="2" t="s">
        <v>37</v>
      </c>
      <c r="G3" s="11" t="s">
        <v>7</v>
      </c>
      <c r="H3" s="13">
        <f>10/15</f>
        <v>0.66666666666666663</v>
      </c>
    </row>
    <row r="4" spans="1:8" x14ac:dyDescent="0.3">
      <c r="A4" s="12">
        <f t="shared" ref="A4:A16" si="0">A3+1</f>
        <v>3</v>
      </c>
      <c r="B4" s="2" t="s">
        <v>96</v>
      </c>
      <c r="C4" s="2" t="s">
        <v>95</v>
      </c>
      <c r="D4" s="2" t="s">
        <v>6</v>
      </c>
      <c r="E4" s="2" t="s">
        <v>10</v>
      </c>
      <c r="F4" s="2" t="s">
        <v>37</v>
      </c>
      <c r="G4" s="11" t="s">
        <v>30</v>
      </c>
      <c r="H4" s="13">
        <f>1/15</f>
        <v>6.6666666666666666E-2</v>
      </c>
    </row>
    <row r="5" spans="1:8" x14ac:dyDescent="0.3">
      <c r="A5" s="12">
        <f t="shared" si="0"/>
        <v>4</v>
      </c>
      <c r="B5" s="2" t="s">
        <v>98</v>
      </c>
      <c r="C5" s="2" t="s">
        <v>95</v>
      </c>
      <c r="D5" s="2" t="s">
        <v>6</v>
      </c>
      <c r="E5" s="2" t="s">
        <v>10</v>
      </c>
      <c r="F5" s="2" t="s">
        <v>37</v>
      </c>
    </row>
    <row r="6" spans="1:8" x14ac:dyDescent="0.3">
      <c r="A6" s="12">
        <f t="shared" si="0"/>
        <v>5</v>
      </c>
      <c r="B6" s="2" t="s">
        <v>99</v>
      </c>
      <c r="C6" s="2" t="s">
        <v>95</v>
      </c>
      <c r="D6" s="2" t="s">
        <v>6</v>
      </c>
      <c r="E6" s="2" t="s">
        <v>7</v>
      </c>
      <c r="F6" s="2" t="s">
        <v>37</v>
      </c>
    </row>
    <row r="7" spans="1:8" x14ac:dyDescent="0.3">
      <c r="A7" s="12">
        <f t="shared" si="0"/>
        <v>6</v>
      </c>
      <c r="B7" s="2" t="s">
        <v>38</v>
      </c>
      <c r="C7" s="2" t="s">
        <v>95</v>
      </c>
      <c r="D7" s="2" t="s">
        <v>6</v>
      </c>
      <c r="E7" s="2" t="s">
        <v>7</v>
      </c>
      <c r="F7" s="2" t="s">
        <v>37</v>
      </c>
    </row>
    <row r="8" spans="1:8" x14ac:dyDescent="0.3">
      <c r="A8" s="12">
        <f t="shared" si="0"/>
        <v>7</v>
      </c>
      <c r="B8" s="2" t="s">
        <v>101</v>
      </c>
      <c r="C8" s="2" t="s">
        <v>95</v>
      </c>
      <c r="D8" s="2" t="s">
        <v>6</v>
      </c>
      <c r="E8" s="2" t="s">
        <v>10</v>
      </c>
      <c r="F8" s="2" t="s">
        <v>37</v>
      </c>
    </row>
    <row r="9" spans="1:8" x14ac:dyDescent="0.3">
      <c r="A9" s="12">
        <f t="shared" si="0"/>
        <v>8</v>
      </c>
      <c r="B9" s="2" t="s">
        <v>102</v>
      </c>
      <c r="C9" s="2" t="s">
        <v>95</v>
      </c>
      <c r="D9" s="2" t="s">
        <v>6</v>
      </c>
      <c r="E9" s="2" t="s">
        <v>7</v>
      </c>
      <c r="F9" s="2" t="s">
        <v>37</v>
      </c>
    </row>
    <row r="10" spans="1:8" x14ac:dyDescent="0.3">
      <c r="A10" s="12">
        <f t="shared" si="0"/>
        <v>9</v>
      </c>
      <c r="B10" s="2" t="s">
        <v>39</v>
      </c>
      <c r="C10" s="2" t="s">
        <v>95</v>
      </c>
      <c r="D10" s="2" t="s">
        <v>6</v>
      </c>
      <c r="E10" s="2" t="s">
        <v>7</v>
      </c>
      <c r="F10" s="2" t="s">
        <v>37</v>
      </c>
    </row>
    <row r="11" spans="1:8" x14ac:dyDescent="0.3">
      <c r="A11" s="12">
        <f t="shared" si="0"/>
        <v>10</v>
      </c>
      <c r="B11" s="1" t="s">
        <v>90</v>
      </c>
      <c r="C11" s="2" t="s">
        <v>95</v>
      </c>
      <c r="D11" s="2" t="s">
        <v>6</v>
      </c>
      <c r="E11" s="1" t="s">
        <v>7</v>
      </c>
      <c r="F11" s="2" t="s">
        <v>37</v>
      </c>
    </row>
    <row r="12" spans="1:8" x14ac:dyDescent="0.3">
      <c r="A12" s="12">
        <f t="shared" si="0"/>
        <v>11</v>
      </c>
      <c r="B12" s="1" t="s">
        <v>91</v>
      </c>
      <c r="C12" s="2" t="s">
        <v>95</v>
      </c>
      <c r="D12" s="2" t="s">
        <v>6</v>
      </c>
      <c r="E12" s="1" t="s">
        <v>7</v>
      </c>
      <c r="F12" s="2" t="s">
        <v>37</v>
      </c>
    </row>
    <row r="13" spans="1:8" x14ac:dyDescent="0.3">
      <c r="A13" s="12">
        <f t="shared" si="0"/>
        <v>12</v>
      </c>
      <c r="B13" s="1" t="s">
        <v>92</v>
      </c>
      <c r="C13" s="2" t="s">
        <v>95</v>
      </c>
      <c r="D13" s="2" t="s">
        <v>15</v>
      </c>
      <c r="E13" s="1" t="s">
        <v>7</v>
      </c>
      <c r="F13" s="2" t="s">
        <v>37</v>
      </c>
    </row>
    <row r="14" spans="1:8" x14ac:dyDescent="0.3">
      <c r="A14" s="12">
        <f t="shared" si="0"/>
        <v>13</v>
      </c>
      <c r="B14" s="1" t="s">
        <v>93</v>
      </c>
      <c r="C14" s="2" t="s">
        <v>95</v>
      </c>
      <c r="D14" s="2" t="s">
        <v>6</v>
      </c>
      <c r="E14" s="1" t="s">
        <v>7</v>
      </c>
      <c r="F14" s="2" t="s">
        <v>37</v>
      </c>
    </row>
    <row r="15" spans="1:8" x14ac:dyDescent="0.3">
      <c r="A15" s="12">
        <f t="shared" si="0"/>
        <v>14</v>
      </c>
      <c r="B15" s="1" t="s">
        <v>94</v>
      </c>
      <c r="C15" s="2" t="s">
        <v>95</v>
      </c>
      <c r="D15" s="2" t="s">
        <v>6</v>
      </c>
      <c r="E15" s="1" t="s">
        <v>7</v>
      </c>
      <c r="F15" s="2" t="s">
        <v>37</v>
      </c>
    </row>
    <row r="16" spans="1:8" x14ac:dyDescent="0.3">
      <c r="A16" s="12">
        <f t="shared" si="0"/>
        <v>15</v>
      </c>
      <c r="B16" s="1" t="s">
        <v>100</v>
      </c>
      <c r="C16" s="2" t="s">
        <v>95</v>
      </c>
      <c r="D16" s="2" t="s">
        <v>6</v>
      </c>
      <c r="E16" s="1" t="s">
        <v>10</v>
      </c>
      <c r="F16" s="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14" sqref="B14"/>
    </sheetView>
  </sheetViews>
  <sheetFormatPr defaultRowHeight="13" x14ac:dyDescent="0.3"/>
  <cols>
    <col min="2" max="2" width="28" bestFit="1" customWidth="1"/>
    <col min="3" max="3" width="18.8984375" bestFit="1" customWidth="1"/>
    <col min="4" max="4" width="23.796875" bestFit="1" customWidth="1"/>
    <col min="5" max="5" width="5.296875" bestFit="1" customWidth="1"/>
    <col min="6" max="6" width="8.59765625" bestFit="1" customWidth="1"/>
    <col min="8" max="8" width="11.19921875" bestFit="1" customWidth="1"/>
  </cols>
  <sheetData>
    <row r="1" spans="1:8" s="4" customFormat="1" x14ac:dyDescent="0.3">
      <c r="A1" s="14" t="s">
        <v>61</v>
      </c>
      <c r="B1" s="3" t="s">
        <v>59</v>
      </c>
      <c r="C1" s="3" t="s">
        <v>1</v>
      </c>
      <c r="D1" s="3" t="s">
        <v>58</v>
      </c>
      <c r="E1" s="3" t="s">
        <v>2</v>
      </c>
      <c r="F1" s="3" t="s">
        <v>3</v>
      </c>
      <c r="G1" s="7" t="s">
        <v>2</v>
      </c>
      <c r="H1" s="7" t="s">
        <v>60</v>
      </c>
    </row>
    <row r="2" spans="1:8" x14ac:dyDescent="0.3">
      <c r="A2" s="12">
        <v>1</v>
      </c>
      <c r="B2" s="2" t="s">
        <v>109</v>
      </c>
      <c r="C2" s="2" t="s">
        <v>108</v>
      </c>
      <c r="D2" s="2" t="s">
        <v>6</v>
      </c>
      <c r="E2" s="2" t="s">
        <v>10</v>
      </c>
      <c r="F2" s="2" t="s">
        <v>41</v>
      </c>
      <c r="G2" s="11" t="s">
        <v>10</v>
      </c>
      <c r="H2" s="13">
        <f>7/15</f>
        <v>0.46666666666666667</v>
      </c>
    </row>
    <row r="3" spans="1:8" x14ac:dyDescent="0.3">
      <c r="A3" s="12">
        <f>A2+1</f>
        <v>2</v>
      </c>
      <c r="B3" s="2" t="s">
        <v>40</v>
      </c>
      <c r="C3" s="2" t="s">
        <v>108</v>
      </c>
      <c r="D3" s="2" t="s">
        <v>15</v>
      </c>
      <c r="E3" s="2" t="s">
        <v>7</v>
      </c>
      <c r="F3" s="2" t="s">
        <v>41</v>
      </c>
      <c r="G3" s="11" t="s">
        <v>7</v>
      </c>
      <c r="H3" s="13">
        <f>8/15</f>
        <v>0.53333333333333333</v>
      </c>
    </row>
    <row r="4" spans="1:8" x14ac:dyDescent="0.3">
      <c r="A4" s="12">
        <f t="shared" ref="A4:A16" si="0">A3+1</f>
        <v>3</v>
      </c>
      <c r="B4" s="2" t="s">
        <v>42</v>
      </c>
      <c r="C4" s="2" t="s">
        <v>108</v>
      </c>
      <c r="D4" s="2" t="s">
        <v>15</v>
      </c>
      <c r="E4" s="2" t="s">
        <v>7</v>
      </c>
      <c r="F4" s="2" t="s">
        <v>41</v>
      </c>
      <c r="G4" s="11" t="s">
        <v>30</v>
      </c>
      <c r="H4" s="13">
        <v>0</v>
      </c>
    </row>
    <row r="5" spans="1:8" x14ac:dyDescent="0.3">
      <c r="A5" s="12">
        <f t="shared" si="0"/>
        <v>4</v>
      </c>
      <c r="B5" s="2" t="s">
        <v>43</v>
      </c>
      <c r="C5" s="2" t="s">
        <v>108</v>
      </c>
      <c r="D5" s="2" t="s">
        <v>6</v>
      </c>
      <c r="E5" s="2" t="s">
        <v>7</v>
      </c>
      <c r="F5" s="2" t="s">
        <v>41</v>
      </c>
    </row>
    <row r="6" spans="1:8" x14ac:dyDescent="0.3">
      <c r="A6" s="12">
        <f t="shared" si="0"/>
        <v>5</v>
      </c>
      <c r="B6" s="2" t="s">
        <v>114</v>
      </c>
      <c r="C6" s="2" t="s">
        <v>108</v>
      </c>
      <c r="D6" s="2" t="s">
        <v>6</v>
      </c>
      <c r="E6" s="2" t="s">
        <v>7</v>
      </c>
      <c r="F6" s="2" t="s">
        <v>41</v>
      </c>
    </row>
    <row r="7" spans="1:8" x14ac:dyDescent="0.3">
      <c r="A7" s="12">
        <f t="shared" si="0"/>
        <v>6</v>
      </c>
      <c r="B7" s="2" t="s">
        <v>110</v>
      </c>
      <c r="C7" s="2" t="s">
        <v>108</v>
      </c>
      <c r="D7" s="2" t="s">
        <v>6</v>
      </c>
      <c r="E7" s="2" t="s">
        <v>10</v>
      </c>
      <c r="F7" s="2" t="s">
        <v>41</v>
      </c>
    </row>
    <row r="8" spans="1:8" x14ac:dyDescent="0.3">
      <c r="A8" s="12">
        <f t="shared" si="0"/>
        <v>7</v>
      </c>
      <c r="B8" s="2" t="s">
        <v>117</v>
      </c>
      <c r="C8" s="2" t="s">
        <v>108</v>
      </c>
      <c r="D8" s="2" t="s">
        <v>6</v>
      </c>
      <c r="E8" s="2" t="s">
        <v>7</v>
      </c>
      <c r="F8" s="2" t="s">
        <v>41</v>
      </c>
    </row>
    <row r="9" spans="1:8" x14ac:dyDescent="0.3">
      <c r="A9" s="12">
        <f t="shared" si="0"/>
        <v>8</v>
      </c>
      <c r="B9" s="2" t="s">
        <v>113</v>
      </c>
      <c r="C9" s="2" t="s">
        <v>108</v>
      </c>
      <c r="D9" s="2" t="s">
        <v>6</v>
      </c>
      <c r="E9" s="2" t="s">
        <v>10</v>
      </c>
      <c r="F9" s="2" t="s">
        <v>41</v>
      </c>
    </row>
    <row r="10" spans="1:8" x14ac:dyDescent="0.3">
      <c r="A10" s="12">
        <f t="shared" si="0"/>
        <v>9</v>
      </c>
      <c r="B10" s="2" t="s">
        <v>115</v>
      </c>
      <c r="C10" s="2" t="s">
        <v>108</v>
      </c>
      <c r="D10" s="2" t="s">
        <v>6</v>
      </c>
      <c r="E10" s="2" t="s">
        <v>7</v>
      </c>
      <c r="F10" s="2" t="s">
        <v>41</v>
      </c>
    </row>
    <row r="11" spans="1:8" x14ac:dyDescent="0.3">
      <c r="A11" s="12">
        <f t="shared" si="0"/>
        <v>10</v>
      </c>
      <c r="B11" s="1" t="s">
        <v>106</v>
      </c>
      <c r="C11" s="2" t="s">
        <v>108</v>
      </c>
      <c r="D11" s="1" t="s">
        <v>6</v>
      </c>
      <c r="E11" s="1" t="s">
        <v>10</v>
      </c>
      <c r="F11" s="2" t="s">
        <v>41</v>
      </c>
    </row>
    <row r="12" spans="1:8" x14ac:dyDescent="0.3">
      <c r="A12" s="12">
        <f t="shared" si="0"/>
        <v>11</v>
      </c>
      <c r="B12" s="1" t="s">
        <v>105</v>
      </c>
      <c r="C12" s="2" t="s">
        <v>108</v>
      </c>
      <c r="D12" s="1" t="s">
        <v>15</v>
      </c>
      <c r="E12" s="1" t="s">
        <v>7</v>
      </c>
      <c r="F12" s="2" t="s">
        <v>41</v>
      </c>
    </row>
    <row r="13" spans="1:8" x14ac:dyDescent="0.3">
      <c r="A13" s="12">
        <f t="shared" si="0"/>
        <v>12</v>
      </c>
      <c r="B13" s="1" t="s">
        <v>107</v>
      </c>
      <c r="C13" s="2" t="s">
        <v>108</v>
      </c>
      <c r="D13" s="2" t="s">
        <v>6</v>
      </c>
      <c r="E13" s="1" t="s">
        <v>10</v>
      </c>
      <c r="F13" s="2" t="s">
        <v>41</v>
      </c>
    </row>
    <row r="14" spans="1:8" x14ac:dyDescent="0.3">
      <c r="A14" s="12">
        <f t="shared" si="0"/>
        <v>13</v>
      </c>
      <c r="B14" s="1" t="s">
        <v>111</v>
      </c>
      <c r="C14" s="2" t="s">
        <v>108</v>
      </c>
      <c r="D14" s="2" t="s">
        <v>6</v>
      </c>
      <c r="E14" s="1" t="s">
        <v>10</v>
      </c>
      <c r="F14" s="2" t="s">
        <v>41</v>
      </c>
    </row>
    <row r="15" spans="1:8" x14ac:dyDescent="0.3">
      <c r="A15" s="12">
        <f t="shared" si="0"/>
        <v>14</v>
      </c>
      <c r="B15" s="1" t="s">
        <v>112</v>
      </c>
      <c r="C15" s="2" t="s">
        <v>108</v>
      </c>
      <c r="D15" s="2" t="s">
        <v>6</v>
      </c>
      <c r="E15" s="1" t="s">
        <v>7</v>
      </c>
      <c r="F15" s="2" t="s">
        <v>41</v>
      </c>
    </row>
    <row r="16" spans="1:8" x14ac:dyDescent="0.3">
      <c r="A16" s="12">
        <f t="shared" si="0"/>
        <v>15</v>
      </c>
      <c r="B16" s="1" t="s">
        <v>116</v>
      </c>
      <c r="C16" s="2" t="s">
        <v>108</v>
      </c>
      <c r="D16" s="1" t="s">
        <v>15</v>
      </c>
      <c r="E16" s="1" t="s">
        <v>10</v>
      </c>
      <c r="F16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Tuseday</vt:lpstr>
      <vt:lpstr>Wednesday</vt:lpstr>
      <vt:lpstr>Thursday</vt:lpstr>
      <vt:lpstr>Friday</vt:lpstr>
      <vt:lpstr>Saturday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2026-03-22T21:20:11Z</dcterms:created>
  <dcterms:modified xsi:type="dcterms:W3CDTF">2026-03-22T22:37:28Z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2026-03-22T00:00:00Z</vt:filetime>
  </property>
</Properties>
</file>